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Learning\Miscellaneous\KPIDashboard\data\"/>
    </mc:Choice>
  </mc:AlternateContent>
  <xr:revisionPtr revIDLastSave="0" documentId="13_ncr:1_{6871B9B5-54DC-4EDC-B009-27F61DB3DDB2}" xr6:coauthVersionLast="47" xr6:coauthVersionMax="47" xr10:uidLastSave="{00000000-0000-0000-0000-000000000000}"/>
  <bookViews>
    <workbookView xWindow="-108" yWindow="-108" windowWidth="23256" windowHeight="13896" xr2:uid="{76F2D5A9-3AE0-44CD-930A-817A40FC2D01}"/>
  </bookViews>
  <sheets>
    <sheet name="Reputation, Society" sheetId="1" r:id="rId1"/>
  </sheets>
  <externalReferences>
    <externalReference r:id="rId2"/>
  </externalReferences>
  <definedNames>
    <definedName name="_Hlk200085589" localSheetId="0">'Reputation, Society'!#REF!</definedName>
    <definedName name="_xlnm.Print_Area" localSheetId="0">'Reputation, Society'!$A$1:$K$17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6" i="1" l="1"/>
  <c r="F8" i="1"/>
  <c r="F7" i="1"/>
  <c r="F4" i="1"/>
</calcChain>
</file>

<file path=xl/sharedStrings.xml><?xml version="1.0" encoding="utf-8"?>
<sst xmlns="http://schemas.openxmlformats.org/spreadsheetml/2006/main" count="47" uniqueCount="31">
  <si>
    <t>KPI by FTE</t>
  </si>
  <si>
    <t>Recognition and Reputation</t>
  </si>
  <si>
    <t>Society Impact &amp; Inclusion</t>
  </si>
  <si>
    <t>Breeding</t>
  </si>
  <si>
    <t>Genebanks</t>
  </si>
  <si>
    <t>Seed System</t>
  </si>
  <si>
    <t>Plant Health</t>
  </si>
  <si>
    <t>Farming Systems Agronomy</t>
  </si>
  <si>
    <t>Mechanization</t>
  </si>
  <si>
    <t>per Program Target (target/13)</t>
  </si>
  <si>
    <t>Active collaborations with scaling partners</t>
  </si>
  <si>
    <t>Awards granted to IITA staff or project teams</t>
  </si>
  <si>
    <t xml:space="preserve"> Invitations for presentations or seminars</t>
  </si>
  <si>
    <t>High level engagements</t>
  </si>
  <si>
    <t xml:space="preserve"> Approved proposals with GeYSI components</t>
  </si>
  <si>
    <t>Approved proposals with climate components</t>
  </si>
  <si>
    <t>Approved proposals with nutrition ad health components</t>
  </si>
  <si>
    <t>Natural Resource Management</t>
  </si>
  <si>
    <t>Foresight &amp; Impact Assessment</t>
  </si>
  <si>
    <t>Gender, Youth &amp; Social Inclusion</t>
  </si>
  <si>
    <t>Reslience &amp; Climate Adaptation</t>
  </si>
  <si>
    <t>Nutrition and Health</t>
  </si>
  <si>
    <t>Value Chain Markets and Agribusiness</t>
  </si>
  <si>
    <t>Resilient Agrifood Systems</t>
  </si>
  <si>
    <t>Systems Transformation</t>
  </si>
  <si>
    <t>Genetic Innovation</t>
  </si>
  <si>
    <t>IITA Program</t>
  </si>
  <si>
    <t>Biotechnology</t>
  </si>
  <si>
    <t>N/A</t>
  </si>
  <si>
    <t>USD (million)</t>
  </si>
  <si>
    <t>Collaboration with Agriculture Research Institutions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</si>
</sst>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0.0"/>
    <numFmt numFmtId="166" formatCode="_(* #,##0_);_(* \(#,##0\);_(* &quot;-&quot;??_);_(@_)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theme="1"/>
      <name val="Calibri"/>
      <family val="2"/>
    </font>
    <font>
      <sz val="9"/>
      <color rgb="FFFF0000"/>
      <name val="Calibri"/>
      <family val="2"/>
    </font>
    <font>
      <sz val="9"/>
      <color rgb="FF000000"/>
      <name val="Calibri"/>
      <family val="2"/>
    </font>
    <font>
      <sz val="8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9"/>
      <color theme="1"/>
      <name val="Calibri"/>
      <family val="2"/>
    </font>
    <font>
      <b/>
      <sz val="11"/>
      <color theme="1"/>
      <name val="Aptos Narrow"/>
      <family val="2"/>
      <scheme val="minor"/>
    </font>
    <font>
      <b/>
      <sz val="10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0.249977111117893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theme="1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B050"/>
      </bottom>
      <diagonal/>
    </border>
    <border>
      <left style="medium">
        <color indexed="64"/>
      </left>
      <right style="medium">
        <color theme="1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rgb="FF00B050"/>
      </top>
      <bottom style="thin">
        <color rgb="FF00B050"/>
      </bottom>
      <diagonal/>
    </border>
    <border>
      <left style="medium">
        <color indexed="64"/>
      </left>
      <right style="medium">
        <color theme="1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rgb="FF00B050"/>
      </top>
      <bottom style="medium">
        <color indexed="64"/>
      </bottom>
      <diagonal/>
    </border>
    <border>
      <left style="medium">
        <color indexed="64"/>
      </left>
      <right style="medium">
        <color theme="1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theme="1"/>
      </left>
      <right style="medium">
        <color theme="1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theme="1"/>
      </left>
      <right style="medium">
        <color theme="1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theme="1"/>
      </left>
      <right style="medium">
        <color theme="1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0">
    <xf numFmtId="0" fontId="0" fillId="0" borderId="0" xfId="0"/>
    <xf numFmtId="0" fontId="2" fillId="0" borderId="0" xfId="0" applyFont="1" applyAlignment="1">
      <alignment horizontal="center"/>
    </xf>
    <xf numFmtId="165" fontId="0" fillId="0" borderId="0" xfId="0" applyNumberFormat="1"/>
    <xf numFmtId="0" fontId="5" fillId="0" borderId="0" xfId="0" applyFont="1"/>
    <xf numFmtId="0" fontId="4" fillId="0" borderId="15" xfId="0" applyFont="1" applyBorder="1" applyAlignment="1">
      <alignment horizontal="left" vertical="center" wrapText="1"/>
    </xf>
    <xf numFmtId="0" fontId="6" fillId="0" borderId="0" xfId="0" applyFont="1"/>
    <xf numFmtId="0" fontId="4" fillId="0" borderId="18" xfId="0" applyFont="1" applyBorder="1" applyAlignment="1">
      <alignment horizontal="left" vertical="center" wrapText="1"/>
    </xf>
    <xf numFmtId="0" fontId="4" fillId="0" borderId="20" xfId="0" applyFont="1" applyBorder="1" applyAlignment="1">
      <alignment horizontal="left" vertical="center" wrapText="1"/>
    </xf>
    <xf numFmtId="0" fontId="4" fillId="0" borderId="23" xfId="0" applyFont="1" applyBorder="1" applyAlignment="1">
      <alignment horizontal="left" vertical="center" wrapText="1"/>
    </xf>
    <xf numFmtId="0" fontId="4" fillId="0" borderId="25" xfId="0" applyFont="1" applyBorder="1" applyAlignment="1">
      <alignment horizontal="left" vertical="center" wrapText="1"/>
    </xf>
    <xf numFmtId="0" fontId="4" fillId="0" borderId="29" xfId="0" applyFont="1" applyBorder="1" applyAlignment="1">
      <alignment horizontal="left" vertical="center" wrapText="1"/>
    </xf>
    <xf numFmtId="0" fontId="7" fillId="0" borderId="0" xfId="0" applyFont="1" applyAlignment="1">
      <alignment horizontal="center"/>
    </xf>
    <xf numFmtId="0" fontId="8" fillId="0" borderId="0" xfId="0" applyFont="1"/>
    <xf numFmtId="0" fontId="9" fillId="0" borderId="0" xfId="0" applyFont="1" applyAlignment="1">
      <alignment vertical="top"/>
    </xf>
    <xf numFmtId="2" fontId="2" fillId="0" borderId="7" xfId="0" applyNumberFormat="1" applyFont="1" applyBorder="1" applyAlignment="1">
      <alignment horizontal="right"/>
    </xf>
    <xf numFmtId="2" fontId="2" fillId="0" borderId="8" xfId="1" applyNumberFormat="1" applyFont="1" applyBorder="1" applyAlignment="1">
      <alignment horizontal="right"/>
    </xf>
    <xf numFmtId="2" fontId="2" fillId="0" borderId="8" xfId="2" applyNumberFormat="1" applyFont="1" applyBorder="1" applyAlignment="1">
      <alignment horizontal="right"/>
    </xf>
    <xf numFmtId="2" fontId="2" fillId="0" borderId="8" xfId="0" applyNumberFormat="1" applyFont="1" applyBorder="1" applyAlignment="1">
      <alignment horizontal="right"/>
    </xf>
    <xf numFmtId="2" fontId="2" fillId="0" borderId="9" xfId="0" applyNumberFormat="1" applyFont="1" applyBorder="1" applyAlignment="1">
      <alignment horizontal="right"/>
    </xf>
    <xf numFmtId="2" fontId="2" fillId="0" borderId="11" xfId="0" applyNumberFormat="1" applyFont="1" applyBorder="1" applyAlignment="1">
      <alignment horizontal="right"/>
    </xf>
    <xf numFmtId="2" fontId="2" fillId="0" borderId="12" xfId="1" applyNumberFormat="1" applyFont="1" applyBorder="1" applyAlignment="1">
      <alignment horizontal="right"/>
    </xf>
    <xf numFmtId="2" fontId="2" fillId="0" borderId="12" xfId="2" applyNumberFormat="1" applyFont="1" applyBorder="1" applyAlignment="1">
      <alignment horizontal="right"/>
    </xf>
    <xf numFmtId="2" fontId="2" fillId="0" borderId="12" xfId="0" applyNumberFormat="1" applyFont="1" applyBorder="1" applyAlignment="1">
      <alignment horizontal="right"/>
    </xf>
    <xf numFmtId="2" fontId="2" fillId="0" borderId="30" xfId="0" applyNumberFormat="1" applyFont="1" applyBorder="1" applyAlignment="1">
      <alignment horizontal="right"/>
    </xf>
    <xf numFmtId="2" fontId="2" fillId="0" borderId="31" xfId="1" applyNumberFormat="1" applyFont="1" applyBorder="1" applyAlignment="1">
      <alignment horizontal="right"/>
    </xf>
    <xf numFmtId="2" fontId="2" fillId="2" borderId="12" xfId="0" applyNumberFormat="1" applyFont="1" applyFill="1" applyBorder="1" applyAlignment="1">
      <alignment horizontal="right"/>
    </xf>
    <xf numFmtId="2" fontId="2" fillId="0" borderId="31" xfId="2" applyNumberFormat="1" applyFont="1" applyFill="1" applyBorder="1" applyAlignment="1">
      <alignment horizontal="right"/>
    </xf>
    <xf numFmtId="2" fontId="2" fillId="2" borderId="31" xfId="0" applyNumberFormat="1" applyFont="1" applyFill="1" applyBorder="1" applyAlignment="1">
      <alignment horizontal="right"/>
    </xf>
    <xf numFmtId="0" fontId="7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165" fontId="6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166" fontId="4" fillId="0" borderId="33" xfId="1" applyNumberFormat="1" applyFont="1" applyBorder="1" applyAlignment="1">
      <alignment vertical="center" wrapText="1"/>
    </xf>
    <xf numFmtId="166" fontId="4" fillId="0" borderId="34" xfId="1" applyNumberFormat="1" applyFont="1" applyBorder="1" applyAlignment="1">
      <alignment vertical="center" wrapText="1"/>
    </xf>
    <xf numFmtId="166" fontId="4" fillId="0" borderId="35" xfId="1" applyNumberFormat="1" applyFont="1" applyBorder="1" applyAlignment="1">
      <alignment vertical="center" wrapText="1"/>
    </xf>
    <xf numFmtId="166" fontId="4" fillId="0" borderId="26" xfId="1" applyNumberFormat="1" applyFont="1" applyBorder="1" applyAlignment="1">
      <alignment vertical="center" wrapText="1"/>
    </xf>
    <xf numFmtId="166" fontId="4" fillId="0" borderId="16" xfId="1" applyNumberFormat="1" applyFont="1" applyBorder="1" applyAlignment="1">
      <alignment vertical="center" wrapText="1"/>
    </xf>
    <xf numFmtId="166" fontId="4" fillId="0" borderId="21" xfId="1" applyNumberFormat="1" applyFont="1" applyBorder="1" applyAlignment="1">
      <alignment vertical="center" wrapText="1"/>
    </xf>
    <xf numFmtId="166" fontId="2" fillId="0" borderId="0" xfId="1" applyNumberFormat="1" applyFont="1" applyAlignment="1"/>
    <xf numFmtId="0" fontId="7" fillId="2" borderId="5" xfId="0" applyFont="1" applyFill="1" applyBorder="1" applyAlignment="1">
      <alignment horizontal="center" vertical="center"/>
    </xf>
    <xf numFmtId="166" fontId="7" fillId="2" borderId="36" xfId="1" applyNumberFormat="1" applyFont="1" applyFill="1" applyBorder="1" applyAlignment="1">
      <alignment vertical="center"/>
    </xf>
    <xf numFmtId="2" fontId="2" fillId="0" borderId="13" xfId="0" applyNumberFormat="1" applyFont="1" applyBorder="1" applyAlignment="1">
      <alignment horizontal="right"/>
    </xf>
    <xf numFmtId="2" fontId="2" fillId="0" borderId="22" xfId="0" applyNumberFormat="1" applyFont="1" applyBorder="1" applyAlignment="1">
      <alignment horizontal="right"/>
    </xf>
    <xf numFmtId="0" fontId="2" fillId="0" borderId="27" xfId="0" applyFont="1" applyBorder="1" applyAlignment="1">
      <alignment horizontal="left" vertical="top" readingOrder="1"/>
    </xf>
    <xf numFmtId="0" fontId="7" fillId="3" borderId="36" xfId="0" applyFont="1" applyFill="1" applyBorder="1"/>
    <xf numFmtId="2" fontId="7" fillId="3" borderId="6" xfId="1" applyNumberFormat="1" applyFont="1" applyFill="1" applyBorder="1" applyAlignment="1">
      <alignment horizontal="right" indent="1"/>
    </xf>
    <xf numFmtId="2" fontId="7" fillId="3" borderId="6" xfId="0" applyNumberFormat="1" applyFont="1" applyFill="1" applyBorder="1" applyAlignment="1">
      <alignment horizontal="right" indent="1"/>
    </xf>
    <xf numFmtId="2" fontId="2" fillId="2" borderId="11" xfId="0" applyNumberFormat="1" applyFont="1" applyFill="1" applyBorder="1" applyAlignment="1">
      <alignment horizontal="right"/>
    </xf>
    <xf numFmtId="2" fontId="2" fillId="0" borderId="31" xfId="0" applyNumberFormat="1" applyFont="1" applyBorder="1" applyAlignment="1">
      <alignment horizontal="right"/>
    </xf>
    <xf numFmtId="166" fontId="2" fillId="3" borderId="6" xfId="1" applyNumberFormat="1" applyFont="1" applyFill="1" applyBorder="1" applyAlignment="1">
      <alignment horizontal="right"/>
    </xf>
    <xf numFmtId="0" fontId="4" fillId="0" borderId="41" xfId="0" applyFont="1" applyBorder="1" applyAlignment="1">
      <alignment horizontal="left" textRotation="90" wrapText="1" readingOrder="1"/>
    </xf>
    <xf numFmtId="0" fontId="4" fillId="0" borderId="1" xfId="0" applyFont="1" applyBorder="1" applyAlignment="1">
      <alignment horizontal="left" textRotation="90" wrapText="1" readingOrder="1"/>
    </xf>
    <xf numFmtId="0" fontId="4" fillId="0" borderId="37" xfId="0" applyFont="1" applyBorder="1" applyAlignment="1">
      <alignment horizontal="left" textRotation="90" wrapText="1" readingOrder="1"/>
    </xf>
    <xf numFmtId="0" fontId="4" fillId="0" borderId="4" xfId="0" applyFont="1" applyBorder="1" applyAlignment="1">
      <alignment horizontal="left" textRotation="90" wrapText="1" readingOrder="1"/>
    </xf>
    <xf numFmtId="9" fontId="2" fillId="0" borderId="11" xfId="2" applyFont="1" applyBorder="1" applyAlignment="1">
      <alignment horizontal="right"/>
    </xf>
    <xf numFmtId="9" fontId="2" fillId="0" borderId="12" xfId="2" applyFont="1" applyBorder="1" applyAlignment="1">
      <alignment horizontal="right"/>
    </xf>
    <xf numFmtId="9" fontId="2" fillId="0" borderId="13" xfId="2" applyFont="1" applyBorder="1" applyAlignment="1">
      <alignment horizontal="right"/>
    </xf>
    <xf numFmtId="9" fontId="7" fillId="3" borderId="6" xfId="2" applyFont="1" applyFill="1" applyBorder="1" applyAlignment="1">
      <alignment horizontal="right" indent="1"/>
    </xf>
    <xf numFmtId="9" fontId="7" fillId="3" borderId="6" xfId="2" applyFont="1" applyFill="1" applyBorder="1" applyAlignment="1">
      <alignment horizontal="right"/>
    </xf>
    <xf numFmtId="9" fontId="7" fillId="3" borderId="10" xfId="2" applyFont="1" applyFill="1" applyBorder="1" applyAlignment="1">
      <alignment horizontal="right" indent="1"/>
    </xf>
    <xf numFmtId="0" fontId="7" fillId="2" borderId="1" xfId="0" applyFont="1" applyFill="1" applyBorder="1" applyAlignment="1">
      <alignment horizontal="center"/>
    </xf>
    <xf numFmtId="0" fontId="7" fillId="2" borderId="32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 vertical="center"/>
    </xf>
    <xf numFmtId="0" fontId="7" fillId="2" borderId="37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2" fillId="0" borderId="38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7" fillId="0" borderId="39" xfId="0" applyFont="1" applyBorder="1" applyAlignment="1">
      <alignment horizontal="center" vertical="top"/>
    </xf>
    <xf numFmtId="0" fontId="7" fillId="0" borderId="40" xfId="0" applyFont="1" applyBorder="1" applyAlignment="1">
      <alignment horizontal="center" vertical="top"/>
    </xf>
    <xf numFmtId="0" fontId="7" fillId="2" borderId="14" xfId="0" applyFont="1" applyFill="1" applyBorder="1" applyAlignment="1">
      <alignment horizontal="center" vertical="center" textRotation="90" wrapText="1"/>
    </xf>
    <xf numFmtId="0" fontId="7" fillId="2" borderId="17" xfId="0" applyFont="1" applyFill="1" applyBorder="1" applyAlignment="1">
      <alignment horizontal="center" vertical="center" textRotation="90" wrapText="1"/>
    </xf>
    <xf numFmtId="0" fontId="7" fillId="2" borderId="19" xfId="0" applyFont="1" applyFill="1" applyBorder="1" applyAlignment="1">
      <alignment horizontal="center" vertical="center" textRotation="90" wrapText="1"/>
    </xf>
    <xf numFmtId="0" fontId="7" fillId="2" borderId="24" xfId="0" applyFont="1" applyFill="1" applyBorder="1" applyAlignment="1">
      <alignment horizontal="center" vertical="center" textRotation="90" wrapText="1"/>
    </xf>
    <xf numFmtId="0" fontId="7" fillId="2" borderId="27" xfId="0" applyFont="1" applyFill="1" applyBorder="1" applyAlignment="1">
      <alignment horizontal="center" vertical="center" textRotation="90" wrapText="1"/>
    </xf>
    <xf numFmtId="0" fontId="7" fillId="2" borderId="28" xfId="0" applyFont="1" applyFill="1" applyBorder="1" applyAlignment="1">
      <alignment horizontal="center" vertical="center" textRotation="90" wrapText="1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giar-my.sharepoint.com/personal/s_lewis_cgiar_org/Documents/TAAT/R4D/KPIS/KPI%20data%20for%20IITA%20for%20AI%20upload.xlsx" TargetMode="External"/><Relationship Id="rId1" Type="http://schemas.openxmlformats.org/officeDocument/2006/relationships/externalLinkPath" Target="https://cgiar-my.sharepoint.com/personal/s_lewis_cgiar_org/Documents/TAAT/R4D/KPIS/KPI%20data%20for%20IITA%20for%20AI%20uploa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hart1"/>
      <sheetName val="Sheet1"/>
    </sheetNames>
    <sheetDataSet>
      <sheetData sheetId="0"/>
      <sheetData sheetId="1">
        <row r="12">
          <cell r="I12">
            <v>1.4999999999999999E-2</v>
          </cell>
        </row>
        <row r="18">
          <cell r="U18">
            <v>0.14285714285714285</v>
          </cell>
          <cell r="AA18">
            <v>0.2</v>
          </cell>
          <cell r="AC18">
            <v>0.25</v>
          </cell>
          <cell r="AS18">
            <v>0.1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4F6B4-64C6-41A0-9F63-399977D02850}">
  <sheetPr>
    <tabColor rgb="FFFFFF00"/>
    <pageSetUpPr fitToPage="1"/>
  </sheetPr>
  <dimension ref="A1:W23"/>
  <sheetViews>
    <sheetView tabSelected="1" topLeftCell="A2" zoomScale="115" zoomScaleNormal="115" zoomScaleSheetLayoutView="75" workbookViewId="0">
      <selection activeCell="P3" sqref="P3"/>
    </sheetView>
  </sheetViews>
  <sheetFormatPr defaultRowHeight="14.4" x14ac:dyDescent="0.3"/>
  <cols>
    <col min="1" max="1" width="10" style="1" customWidth="1"/>
    <col min="2" max="2" width="41.88671875" style="1" customWidth="1"/>
    <col min="3" max="3" width="4.88671875" style="38" customWidth="1"/>
    <col min="4" max="10" width="7.21875" style="29" customWidth="1"/>
    <col min="11" max="11" width="7.21875" style="30" customWidth="1"/>
  </cols>
  <sheetData>
    <row r="1" spans="1:11" s="12" customFormat="1" ht="15" thickBot="1" x14ac:dyDescent="0.35">
      <c r="A1" s="11"/>
      <c r="B1" s="60" t="s">
        <v>0</v>
      </c>
      <c r="C1" s="61"/>
      <c r="D1" s="62"/>
      <c r="E1" s="62"/>
      <c r="F1" s="62"/>
      <c r="G1" s="62"/>
      <c r="H1" s="62"/>
      <c r="I1" s="63"/>
      <c r="J1" s="63"/>
      <c r="K1" s="64"/>
    </row>
    <row r="2" spans="1:11" s="13" customFormat="1" ht="25.95" customHeight="1" thickBot="1" x14ac:dyDescent="0.35">
      <c r="A2" s="72"/>
      <c r="B2" s="39" t="s">
        <v>26</v>
      </c>
      <c r="C2" s="40"/>
      <c r="D2" s="65" t="s">
        <v>1</v>
      </c>
      <c r="E2" s="66"/>
      <c r="F2" s="66"/>
      <c r="G2" s="66"/>
      <c r="H2" s="67"/>
      <c r="I2" s="68" t="s">
        <v>2</v>
      </c>
      <c r="J2" s="68"/>
      <c r="K2" s="69"/>
    </row>
    <row r="3" spans="1:11" s="3" customFormat="1" ht="132" customHeight="1" thickBot="1" x14ac:dyDescent="0.3">
      <c r="A3" s="73"/>
      <c r="B3" s="43"/>
      <c r="C3" s="50" t="s">
        <v>29</v>
      </c>
      <c r="D3" s="51" t="s">
        <v>30</v>
      </c>
      <c r="E3" s="52" t="s">
        <v>10</v>
      </c>
      <c r="F3" s="52" t="s">
        <v>11</v>
      </c>
      <c r="G3" s="52" t="s">
        <v>12</v>
      </c>
      <c r="H3" s="53" t="s">
        <v>13</v>
      </c>
      <c r="I3" s="51" t="s">
        <v>14</v>
      </c>
      <c r="J3" s="52" t="s">
        <v>15</v>
      </c>
      <c r="K3" s="53" t="s">
        <v>16</v>
      </c>
    </row>
    <row r="4" spans="1:11" s="5" customFormat="1" ht="15.6" customHeight="1" x14ac:dyDescent="0.25">
      <c r="A4" s="74" t="s">
        <v>25</v>
      </c>
      <c r="B4" s="4" t="s">
        <v>27</v>
      </c>
      <c r="C4" s="32">
        <v>7</v>
      </c>
      <c r="D4" s="14">
        <v>2.4285714285714284</v>
      </c>
      <c r="E4" s="15" t="s">
        <v>28</v>
      </c>
      <c r="F4" s="16">
        <f>[1]Sheet1!$U$18</f>
        <v>0.14285714285714285</v>
      </c>
      <c r="G4" s="17">
        <v>0</v>
      </c>
      <c r="H4" s="18" t="s">
        <v>28</v>
      </c>
      <c r="I4" s="14">
        <v>0</v>
      </c>
      <c r="J4" s="17">
        <v>0</v>
      </c>
      <c r="K4" s="18">
        <v>0</v>
      </c>
    </row>
    <row r="5" spans="1:11" s="5" customFormat="1" ht="15.6" customHeight="1" x14ac:dyDescent="0.25">
      <c r="A5" s="75"/>
      <c r="B5" s="6" t="s">
        <v>3</v>
      </c>
      <c r="C5" s="33">
        <v>23</v>
      </c>
      <c r="D5" s="19">
        <v>1</v>
      </c>
      <c r="E5" s="20" t="s">
        <v>28</v>
      </c>
      <c r="F5" s="21">
        <v>0</v>
      </c>
      <c r="G5" s="22">
        <v>0.13043478260869565</v>
      </c>
      <c r="H5" s="41" t="s">
        <v>28</v>
      </c>
      <c r="I5" s="54">
        <v>0.28999999999999998</v>
      </c>
      <c r="J5" s="55">
        <v>0.14000000000000001</v>
      </c>
      <c r="K5" s="56">
        <v>0.28999999999999998</v>
      </c>
    </row>
    <row r="6" spans="1:11" s="5" customFormat="1" ht="15.6" customHeight="1" x14ac:dyDescent="0.25">
      <c r="A6" s="75"/>
      <c r="B6" s="6" t="s">
        <v>4</v>
      </c>
      <c r="C6" s="33">
        <v>4</v>
      </c>
      <c r="D6" s="19">
        <v>4.75</v>
      </c>
      <c r="E6" s="20" t="s">
        <v>28</v>
      </c>
      <c r="F6" s="21">
        <v>0</v>
      </c>
      <c r="G6" s="22">
        <v>0.25</v>
      </c>
      <c r="H6" s="41" t="s">
        <v>28</v>
      </c>
      <c r="I6" s="19">
        <v>0</v>
      </c>
      <c r="J6" s="22">
        <v>0</v>
      </c>
      <c r="K6" s="41">
        <v>0</v>
      </c>
    </row>
    <row r="7" spans="1:11" s="5" customFormat="1" ht="15.6" customHeight="1" thickBot="1" x14ac:dyDescent="0.3">
      <c r="A7" s="76"/>
      <c r="B7" s="7" t="s">
        <v>5</v>
      </c>
      <c r="C7" s="34">
        <v>15</v>
      </c>
      <c r="D7" s="19">
        <v>0</v>
      </c>
      <c r="E7" s="20">
        <v>0.93333333333333335</v>
      </c>
      <c r="F7" s="21">
        <f>[1]Sheet1!$AA$18</f>
        <v>0.2</v>
      </c>
      <c r="G7" s="22">
        <v>0</v>
      </c>
      <c r="H7" s="41" t="s">
        <v>28</v>
      </c>
      <c r="I7" s="54">
        <v>0.43</v>
      </c>
      <c r="J7" s="55">
        <v>0.28999999999999998</v>
      </c>
      <c r="K7" s="56">
        <v>0.14000000000000001</v>
      </c>
    </row>
    <row r="8" spans="1:11" s="5" customFormat="1" ht="15.6" customHeight="1" x14ac:dyDescent="0.25">
      <c r="A8" s="74" t="s">
        <v>23</v>
      </c>
      <c r="B8" s="4" t="s">
        <v>6</v>
      </c>
      <c r="C8" s="32">
        <v>12</v>
      </c>
      <c r="D8" s="19">
        <v>1.5</v>
      </c>
      <c r="E8" s="20">
        <v>8.3333333333333329E-2</v>
      </c>
      <c r="F8" s="21">
        <f>[1]Sheet1!$AC$18</f>
        <v>0.25</v>
      </c>
      <c r="G8" s="22">
        <v>0.41666666666666669</v>
      </c>
      <c r="H8" s="41" t="s">
        <v>28</v>
      </c>
      <c r="I8" s="54">
        <v>0.33</v>
      </c>
      <c r="J8" s="55">
        <v>0.33</v>
      </c>
      <c r="K8" s="41">
        <v>0</v>
      </c>
    </row>
    <row r="9" spans="1:11" s="5" customFormat="1" ht="15.6" customHeight="1" x14ac:dyDescent="0.25">
      <c r="A9" s="75"/>
      <c r="B9" s="6" t="s">
        <v>7</v>
      </c>
      <c r="C9" s="33">
        <v>20</v>
      </c>
      <c r="D9" s="19">
        <v>2.15</v>
      </c>
      <c r="E9" s="20">
        <v>0.85</v>
      </c>
      <c r="F9" s="21">
        <v>0</v>
      </c>
      <c r="G9" s="22">
        <v>0.15</v>
      </c>
      <c r="H9" s="41" t="s">
        <v>28</v>
      </c>
      <c r="I9" s="54">
        <v>0.44</v>
      </c>
      <c r="J9" s="55">
        <v>0.44</v>
      </c>
      <c r="K9" s="56">
        <v>0.11</v>
      </c>
    </row>
    <row r="10" spans="1:11" s="5" customFormat="1" ht="15.6" customHeight="1" x14ac:dyDescent="0.25">
      <c r="A10" s="75"/>
      <c r="B10" s="6" t="s">
        <v>17</v>
      </c>
      <c r="C10" s="33">
        <v>7</v>
      </c>
      <c r="D10" s="19">
        <v>0</v>
      </c>
      <c r="E10" s="20">
        <v>0.42857142857142855</v>
      </c>
      <c r="F10" s="21">
        <v>0</v>
      </c>
      <c r="G10" s="22">
        <v>0</v>
      </c>
      <c r="H10" s="41" t="s">
        <v>28</v>
      </c>
      <c r="I10" s="54">
        <v>0.71</v>
      </c>
      <c r="J10" s="55">
        <v>0.71</v>
      </c>
      <c r="K10" s="41">
        <v>0</v>
      </c>
    </row>
    <row r="11" spans="1:11" s="5" customFormat="1" ht="15.6" customHeight="1" thickBot="1" x14ac:dyDescent="0.3">
      <c r="A11" s="76"/>
      <c r="B11" s="7" t="s">
        <v>8</v>
      </c>
      <c r="C11" s="34">
        <v>4</v>
      </c>
      <c r="D11" s="19">
        <v>0</v>
      </c>
      <c r="E11" s="20">
        <v>0</v>
      </c>
      <c r="F11" s="21">
        <v>0</v>
      </c>
      <c r="G11" s="22">
        <v>0</v>
      </c>
      <c r="H11" s="41" t="s">
        <v>28</v>
      </c>
      <c r="I11" s="19">
        <v>0</v>
      </c>
      <c r="J11" s="22">
        <v>0</v>
      </c>
      <c r="K11" s="41">
        <v>0</v>
      </c>
    </row>
    <row r="12" spans="1:11" s="5" customFormat="1" ht="15.6" customHeight="1" x14ac:dyDescent="0.25">
      <c r="A12" s="77" t="s">
        <v>24</v>
      </c>
      <c r="B12" s="9" t="s">
        <v>18</v>
      </c>
      <c r="C12" s="35">
        <v>11</v>
      </c>
      <c r="D12" s="19">
        <v>0.63636363636363635</v>
      </c>
      <c r="E12" s="20">
        <v>0</v>
      </c>
      <c r="F12" s="21">
        <v>0</v>
      </c>
      <c r="G12" s="25">
        <v>0</v>
      </c>
      <c r="H12" s="41" t="s">
        <v>28</v>
      </c>
      <c r="I12" s="47">
        <v>0</v>
      </c>
      <c r="J12" s="22">
        <v>0</v>
      </c>
      <c r="K12" s="41">
        <v>0</v>
      </c>
    </row>
    <row r="13" spans="1:11" s="5" customFormat="1" ht="15.6" customHeight="1" x14ac:dyDescent="0.25">
      <c r="A13" s="78"/>
      <c r="B13" s="8" t="s">
        <v>19</v>
      </c>
      <c r="C13" s="36">
        <v>11</v>
      </c>
      <c r="D13" s="19">
        <v>0</v>
      </c>
      <c r="E13" s="20">
        <v>0</v>
      </c>
      <c r="F13" s="21">
        <v>0</v>
      </c>
      <c r="G13" s="25">
        <v>0.27272727272727271</v>
      </c>
      <c r="H13" s="41" t="s">
        <v>28</v>
      </c>
      <c r="I13" s="47">
        <v>0</v>
      </c>
      <c r="J13" s="22">
        <v>0</v>
      </c>
      <c r="K13" s="41">
        <v>0</v>
      </c>
    </row>
    <row r="14" spans="1:11" s="5" customFormat="1" ht="15.6" customHeight="1" x14ac:dyDescent="0.25">
      <c r="A14" s="78"/>
      <c r="B14" s="8" t="s">
        <v>20</v>
      </c>
      <c r="C14" s="36">
        <v>5</v>
      </c>
      <c r="D14" s="19">
        <v>1.2</v>
      </c>
      <c r="E14" s="20">
        <v>0.6</v>
      </c>
      <c r="F14" s="21">
        <v>0</v>
      </c>
      <c r="G14" s="25">
        <v>0.6</v>
      </c>
      <c r="H14" s="41" t="s">
        <v>28</v>
      </c>
      <c r="I14" s="47">
        <v>0</v>
      </c>
      <c r="J14" s="22">
        <v>0</v>
      </c>
      <c r="K14" s="41">
        <v>0</v>
      </c>
    </row>
    <row r="15" spans="1:11" s="5" customFormat="1" ht="15.6" customHeight="1" x14ac:dyDescent="0.25">
      <c r="A15" s="78"/>
      <c r="B15" s="8" t="s">
        <v>21</v>
      </c>
      <c r="C15" s="36">
        <v>4</v>
      </c>
      <c r="D15" s="19">
        <v>1.75</v>
      </c>
      <c r="E15" s="20">
        <v>0</v>
      </c>
      <c r="F15" s="21">
        <v>0</v>
      </c>
      <c r="G15" s="25">
        <v>0</v>
      </c>
      <c r="H15" s="41" t="s">
        <v>28</v>
      </c>
      <c r="I15" s="47">
        <v>0</v>
      </c>
      <c r="J15" s="22">
        <v>0</v>
      </c>
      <c r="K15" s="41">
        <v>0</v>
      </c>
    </row>
    <row r="16" spans="1:11" s="5" customFormat="1" ht="15.45" customHeight="1" thickBot="1" x14ac:dyDescent="0.3">
      <c r="A16" s="79"/>
      <c r="B16" s="10" t="s">
        <v>22</v>
      </c>
      <c r="C16" s="37">
        <v>10</v>
      </c>
      <c r="D16" s="23">
        <v>0</v>
      </c>
      <c r="E16" s="24">
        <v>0</v>
      </c>
      <c r="F16" s="26">
        <f>[1]Sheet1!$AS$18</f>
        <v>0.1</v>
      </c>
      <c r="G16" s="27">
        <v>0</v>
      </c>
      <c r="H16" s="42" t="s">
        <v>28</v>
      </c>
      <c r="I16" s="54">
        <v>1</v>
      </c>
      <c r="J16" s="48">
        <v>0</v>
      </c>
      <c r="K16" s="42">
        <v>0</v>
      </c>
    </row>
    <row r="17" spans="1:23" ht="15" thickBot="1" x14ac:dyDescent="0.35">
      <c r="A17" s="70"/>
      <c r="B17" s="44" t="s">
        <v>9</v>
      </c>
      <c r="C17" s="49">
        <v>133</v>
      </c>
      <c r="D17" s="45">
        <v>0.22556390977443608</v>
      </c>
      <c r="E17" s="45">
        <v>0.18796992481203006</v>
      </c>
      <c r="F17" s="45">
        <v>0.22556390977443608</v>
      </c>
      <c r="G17" s="45">
        <v>0.22556390977443608</v>
      </c>
      <c r="H17" s="46" t="s">
        <v>28</v>
      </c>
      <c r="I17" s="57">
        <v>0.25</v>
      </c>
      <c r="J17" s="58">
        <v>0.25</v>
      </c>
      <c r="K17" s="59">
        <v>0.25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 spans="1:23" x14ac:dyDescent="0.3">
      <c r="A18" s="71"/>
    </row>
    <row r="19" spans="1:23" hidden="1" x14ac:dyDescent="0.3">
      <c r="D19" s="28"/>
    </row>
    <row r="20" spans="1:23" hidden="1" x14ac:dyDescent="0.3"/>
    <row r="21" spans="1:23" hidden="1" x14ac:dyDescent="0.3">
      <c r="D21" s="31"/>
    </row>
    <row r="22" spans="1:23" hidden="1" x14ac:dyDescent="0.3"/>
    <row r="23" spans="1:23" hidden="1" x14ac:dyDescent="0.3"/>
  </sheetData>
  <mergeCells count="8">
    <mergeCell ref="B1:K1"/>
    <mergeCell ref="D2:H2"/>
    <mergeCell ref="I2:K2"/>
    <mergeCell ref="A17:A18"/>
    <mergeCell ref="A2:A3"/>
    <mergeCell ref="A4:A7"/>
    <mergeCell ref="A8:A11"/>
    <mergeCell ref="A12:A16"/>
  </mergeCells>
  <conditionalFormatting sqref="D4:D16">
    <cfRule type="colorScale" priority="38">
      <colorScale>
        <cfvo type="min"/>
        <cfvo type="formula" val="$D$17/2"/>
        <cfvo type="formula" val="$D$17"/>
        <color rgb="FFFF0000"/>
        <color rgb="FFFFFF00"/>
        <color rgb="FF00B050"/>
      </colorScale>
    </cfRule>
  </conditionalFormatting>
  <conditionalFormatting sqref="E4:E16">
    <cfRule type="colorScale" priority="39">
      <colorScale>
        <cfvo type="min"/>
        <cfvo type="formula" val="$E$17/2"/>
        <cfvo type="formula" val="$E$17"/>
        <color rgb="FFFF0000"/>
        <color rgb="FFFFFF00"/>
        <color rgb="FF00B050"/>
      </colorScale>
    </cfRule>
  </conditionalFormatting>
  <conditionalFormatting sqref="F4:F16">
    <cfRule type="colorScale" priority="40">
      <colorScale>
        <cfvo type="min"/>
        <cfvo type="formula" val="$F$17/2"/>
        <cfvo type="formula" val="$F$17"/>
        <color rgb="FFFF0000"/>
        <color rgb="FFFFFF00"/>
        <color rgb="FF00B050"/>
      </colorScale>
    </cfRule>
  </conditionalFormatting>
  <conditionalFormatting sqref="G4:G16">
    <cfRule type="colorScale" priority="41">
      <colorScale>
        <cfvo type="min"/>
        <cfvo type="formula" val="$G$17/2"/>
        <cfvo type="formula" val="$G$17"/>
        <color rgb="FFFF0000"/>
        <color rgb="FFFFFF00"/>
        <color rgb="FF00B050"/>
      </colorScale>
    </cfRule>
  </conditionalFormatting>
  <conditionalFormatting sqref="I4:I16">
    <cfRule type="colorScale" priority="42">
      <colorScale>
        <cfvo type="min"/>
        <cfvo type="formula" val="$I$17/2"/>
        <cfvo type="formula" val="$I$17"/>
        <color rgb="FFFF0000"/>
        <color rgb="FFFFFF00"/>
        <color rgb="FF00B050"/>
      </colorScale>
    </cfRule>
  </conditionalFormatting>
  <conditionalFormatting sqref="J4:J16">
    <cfRule type="colorScale" priority="43">
      <colorScale>
        <cfvo type="min"/>
        <cfvo type="formula" val="$J$17/2"/>
        <cfvo type="formula" val="$J$17"/>
        <color rgb="FFFF0000"/>
        <color rgb="FFFFFF00"/>
        <color rgb="FF00B050"/>
      </colorScale>
    </cfRule>
  </conditionalFormatting>
  <conditionalFormatting sqref="K4:K16">
    <cfRule type="colorScale" priority="44">
      <colorScale>
        <cfvo type="min"/>
        <cfvo type="formula" val="$K$17/2"/>
        <cfvo type="formula" val="$K$17"/>
        <color rgb="FFFF0000"/>
        <color rgb="FFFFFF00"/>
        <color rgb="FF00B050"/>
      </colorScale>
    </cfRule>
  </conditionalFormatting>
  <pageMargins left="0.7" right="0.7" top="0.75" bottom="0.75" header="0.3" footer="0.3"/>
  <pageSetup paperSize="8" scale="88" orientation="landscape" r:id="rId1"/>
</worksheet>
</file>

<file path=docMetadata/LabelInfo.xml><?xml version="1.0" encoding="utf-8"?>
<clbl:labelList xmlns:clbl="http://schemas.microsoft.com/office/2020/mipLabelMetadata">
  <clbl:label id="{9d258917-277f-42cd-a3cd-14c4e9ee58bc}" enabled="1" method="Standard" siteId="{38ae3bcd-9579-4fd4-adda-b42e1495d55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Reputation, Society</vt:lpstr>
      <vt:lpstr>'Reputation, Society'!Print_Area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Lewis, Sabra (IITA)</dc:creator>
  <cp:lastModifiedBy>Devari, Aalakh (SI EA R&amp;D AU SDA)</cp:lastModifiedBy>
  <dcterms:created xsi:type="dcterms:W3CDTF">2026-04-08T13:57:25Z</dcterms:created>
  <dcterms:modified xsi:type="dcterms:W3CDTF">2026-04-23T14:50:29Z</dcterms:modified>
</cp:coreProperties>
</file>