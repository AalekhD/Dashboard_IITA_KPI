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6CABF64-DE01-47CF-BCF9-929CD1EAF1B4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<sst xmlns="http://schemas.openxmlformats.org/spreadsheetml/2006/main" count="33" uniqueCount="30">
  <si>
    <t>KPI by FTE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</si>
  <si>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</si>
  <si>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</si>
  <si>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</si>
  <si>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</si>
  <si>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</si>
  <si>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</si>
  <si>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</si>
  <si>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</si>
  <si>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</si>
  <si>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</si>
  <si>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</si>
  <si>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</si>
  <si>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</si>
  <si>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</si>
  <si>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</si>
  <si>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</si>
  <si>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</si>
  <si>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</si>
  <si>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</si>
  <si>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</si>
  <si>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</si>
  <si>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</si>
  <si>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FTE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</si>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</sst>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readingOrder="1"/>
    </xf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7" fillId="2" borderId="5" xfId="0" applyFont="1" applyFill="1" applyBorder="1" applyAlignment="1">
      <alignment horizontal="center"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26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0" borderId="39" xfId="1" applyNumberFormat="1" applyFont="1" applyBorder="1" applyAlignment="1">
      <alignment horizontal="right"/>
    </xf>
    <xf numFmtId="2" fontId="2" fillId="0" borderId="39" xfId="2" applyNumberFormat="1" applyFont="1" applyBorder="1" applyAlignment="1">
      <alignment horizontal="right"/>
    </xf>
    <xf numFmtId="2" fontId="2" fillId="2" borderId="39" xfId="0" applyNumberFormat="1" applyFont="1" applyFill="1" applyBorder="1" applyAlignment="1">
      <alignment horizontal="right"/>
    </xf>
    <xf numFmtId="2" fontId="2" fillId="0" borderId="32" xfId="0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7" xfId="2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7" fillId="3" borderId="0" xfId="1" applyNumberFormat="1" applyFont="1" applyFill="1" applyAlignment="1">
      <alignment horizontal="right" indent="1"/>
    </xf>
    <xf numFmtId="2" fontId="7" fillId="3" borderId="0" xfId="0" applyNumberFormat="1" applyFont="1" applyFill="1" applyAlignment="1">
      <alignment horizontal="right" indent="1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44" xfId="0" applyFont="1" applyBorder="1" applyAlignment="1">
      <alignment horizontal="left" vertical="top" readingOrder="1"/>
    </xf>
    <xf numFmtId="0" fontId="4" fillId="0" borderId="45" xfId="0" applyFont="1" applyBorder="1" applyAlignment="1">
      <alignment horizontal="right" textRotation="90" wrapText="1" readingOrder="1"/>
    </xf>
    <xf numFmtId="0" fontId="4" fillId="0" borderId="46" xfId="0" applyFont="1" applyBorder="1" applyAlignment="1">
      <alignment horizontal="right" textRotation="90" wrapText="1" readingOrder="1"/>
    </xf>
    <xf numFmtId="0" fontId="4" fillId="0" borderId="47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48" xfId="0" applyFont="1" applyBorder="1" applyAlignment="1">
      <alignment horizontal="right" textRotation="90" wrapText="1" readingOrder="1"/>
    </xf>
    <xf numFmtId="166" fontId="7" fillId="3" borderId="0" xfId="1" applyNumberFormat="1" applyFont="1" applyFill="1" applyAlignment="1">
      <alignment horizontal="right" indent="1"/>
    </xf>
    <xf numFmtId="166" fontId="2" fillId="0" borderId="16" xfId="0" applyNumberFormat="1" applyFont="1" applyBorder="1" applyAlignment="1">
      <alignment horizontal="right"/>
    </xf>
    <xf numFmtId="166" fontId="2" fillId="0" borderId="17" xfId="0" applyNumberFormat="1" applyFont="1" applyBorder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8" xfId="0" applyNumberFormat="1" applyFont="1" applyBorder="1" applyAlignment="1">
      <alignment horizontal="right"/>
    </xf>
    <xf numFmtId="166" fontId="2" fillId="0" borderId="21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4" xfId="0" applyNumberFormat="1" applyFont="1" applyBorder="1" applyAlignment="1">
      <alignment horizontal="right"/>
    </xf>
    <xf numFmtId="166" fontId="2" fillId="0" borderId="25" xfId="0" applyNumberFormat="1" applyFont="1" applyBorder="1" applyAlignment="1">
      <alignment horizontal="right"/>
    </xf>
    <xf numFmtId="166" fontId="2" fillId="0" borderId="26" xfId="0" applyNumberFormat="1" applyFont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166" fontId="2" fillId="0" borderId="32" xfId="0" applyNumberFormat="1" applyFont="1" applyBorder="1" applyAlignment="1">
      <alignment horizontal="right"/>
    </xf>
    <xf numFmtId="166" fontId="2" fillId="2" borderId="18" xfId="0" applyNumberFormat="1" applyFont="1" applyFill="1" applyBorder="1" applyAlignment="1">
      <alignment horizontal="right"/>
    </xf>
    <xf numFmtId="166" fontId="2" fillId="2" borderId="24" xfId="0" applyNumberFormat="1" applyFont="1" applyFill="1" applyBorder="1" applyAlignment="1">
      <alignment horizontal="right"/>
    </xf>
    <xf numFmtId="167" fontId="7" fillId="2" borderId="49" xfId="1" applyNumberFormat="1" applyFont="1" applyFill="1" applyBorder="1" applyAlignment="1">
      <alignment vertical="top"/>
    </xf>
    <xf numFmtId="167" fontId="2" fillId="0" borderId="33" xfId="1" applyNumberFormat="1" applyFont="1" applyBorder="1" applyAlignment="1">
      <alignment vertical="top" wrapText="1" readingOrder="1"/>
    </xf>
    <xf numFmtId="167" fontId="4" fillId="0" borderId="41" xfId="1" applyNumberFormat="1" applyFont="1" applyBorder="1" applyAlignment="1">
      <alignment vertical="center" wrapText="1"/>
    </xf>
    <xf numFmtId="167" fontId="4" fillId="0" borderId="42" xfId="1" applyNumberFormat="1" applyFont="1" applyBorder="1" applyAlignment="1">
      <alignment vertical="center" wrapText="1"/>
    </xf>
    <xf numFmtId="167" fontId="4" fillId="0" borderId="43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4" fillId="0" borderId="18" xfId="1" applyNumberFormat="1" applyFont="1" applyBorder="1" applyAlignment="1">
      <alignment vertical="center" wrapText="1"/>
    </xf>
    <xf numFmtId="167" fontId="4" fillId="0" borderId="24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167" fontId="2" fillId="0" borderId="0" xfId="1" applyNumberFormat="1" applyFont="1" applyAlignment="1"/>
    <xf numFmtId="0" fontId="2" fillId="2" borderId="14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 vertical="center" textRotation="90"/>
    </xf>
    <xf numFmtId="0" fontId="2" fillId="2" borderId="28" xfId="0" applyFont="1" applyFill="1" applyBorder="1" applyAlignment="1">
      <alignment horizontal="center" vertical="center" textRotation="90"/>
    </xf>
    <xf numFmtId="0" fontId="2" fillId="2" borderId="33" xfId="0" applyFont="1" applyFill="1" applyBorder="1" applyAlignment="1">
      <alignment horizontal="center" vertical="center" textRotation="90"/>
    </xf>
    <xf numFmtId="0" fontId="2" fillId="2" borderId="34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4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50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X23"/>
  <sheetViews>
    <sheetView tabSelected="1" zoomScale="115" zoomScaleNormal="115" zoomScaleSheetLayoutView="75" workbookViewId="0">
      <pane ySplit="3" topLeftCell="A5" activePane="bottomLeft" state="frozen"/>
      <selection activeCell="B1" sqref="B1:O20"/>
      <selection pane="bottomLeft" activeCell="N3" sqref="N3"/>
    </sheetView>
  </sheetViews>
  <sheetFormatPr defaultRowHeight="14.4" x14ac:dyDescent="0.3"/>
  <cols>
    <col min="2" max="2" width="3.21875" style="1" customWidth="1"/>
    <col min="3" max="3" width="41.88671875" style="1" customWidth="1"/>
    <col min="4" max="4" width="6.21875" style="78" customWidth="1"/>
    <col min="5" max="11" width="8.5546875" style="45" customWidth="1"/>
    <col min="12" max="12" width="8.5546875" style="46" customWidth="1"/>
  </cols>
  <sheetData>
    <row r="1" spans="2:12" s="15" customFormat="1" ht="15" thickBot="1" x14ac:dyDescent="0.35">
      <c r="B1" s="14"/>
      <c r="C1" s="85" t="s">
        <v>0</v>
      </c>
      <c r="D1" s="86"/>
      <c r="E1" s="87"/>
      <c r="F1" s="87"/>
      <c r="G1" s="87"/>
      <c r="H1" s="87"/>
      <c r="I1" s="87"/>
      <c r="J1" s="88"/>
      <c r="K1" s="88"/>
      <c r="L1" s="89"/>
    </row>
    <row r="2" spans="2:12" s="17" customFormat="1" ht="25.95" customHeight="1" thickBot="1" x14ac:dyDescent="0.35">
      <c r="B2" s="16"/>
      <c r="C2" s="18"/>
      <c r="D2" s="69"/>
      <c r="E2" s="90" t="s">
        <v>1</v>
      </c>
      <c r="F2" s="91"/>
      <c r="G2" s="91"/>
      <c r="H2" s="91"/>
      <c r="I2" s="92"/>
      <c r="J2" s="93" t="s">
        <v>2</v>
      </c>
      <c r="K2" s="93"/>
      <c r="L2" s="94"/>
    </row>
    <row r="3" spans="2:12" s="4" customFormat="1" ht="132" customHeight="1" thickBot="1" x14ac:dyDescent="0.3">
      <c r="B3" s="3"/>
      <c r="C3" s="48"/>
      <c r="D3" s="70" t="s">
        <v>23</v>
      </c>
      <c r="E3" s="49" t="s">
        <v>15</v>
      </c>
      <c r="F3" s="50" t="s">
        <v>16</v>
      </c>
      <c r="G3" s="50" t="s">
        <v>17</v>
      </c>
      <c r="H3" s="50" t="s">
        <v>18</v>
      </c>
      <c r="I3" s="51" t="s">
        <v>19</v>
      </c>
      <c r="J3" s="52" t="s">
        <v>20</v>
      </c>
      <c r="K3" s="53" t="s">
        <v>21</v>
      </c>
      <c r="L3" s="51" t="s">
        <v>22</v>
      </c>
    </row>
    <row r="4" spans="2:12" s="6" customFormat="1" ht="15.6" customHeight="1" x14ac:dyDescent="0.25">
      <c r="B4" s="79" t="s">
        <v>3</v>
      </c>
      <c r="C4" s="5" t="s">
        <v>4</v>
      </c>
      <c r="D4" s="71">
        <v>7</v>
      </c>
      <c r="E4" s="19">
        <v>2.4285714285714284</v>
      </c>
      <c r="F4" s="20" t="s">
        <v>5</v>
      </c>
      <c r="G4" s="21">
        <f>[1]Sheet1!$U$18</f>
        <v>0.14285714285714285</v>
      </c>
      <c r="H4" s="22">
        <v>0</v>
      </c>
      <c r="I4" s="23"/>
      <c r="J4" s="55">
        <v>0</v>
      </c>
      <c r="K4" s="56">
        <v>0</v>
      </c>
      <c r="L4" s="57">
        <v>0</v>
      </c>
    </row>
    <row r="5" spans="2:12" s="6" customFormat="1" ht="15.6" customHeight="1" x14ac:dyDescent="0.25">
      <c r="B5" s="80"/>
      <c r="C5" s="7" t="s">
        <v>6</v>
      </c>
      <c r="D5" s="72">
        <v>23</v>
      </c>
      <c r="E5" s="24">
        <v>1</v>
      </c>
      <c r="F5" s="25" t="s">
        <v>5</v>
      </c>
      <c r="G5" s="26">
        <v>0</v>
      </c>
      <c r="H5" s="27">
        <v>0.13043478260869565</v>
      </c>
      <c r="I5" s="28"/>
      <c r="J5" s="58">
        <f>[1]Sheet1!$W$21</f>
        <v>8.6956521739130432E-2</v>
      </c>
      <c r="K5" s="59">
        <f>[1]Sheet1!$W$22</f>
        <v>4.3478260869565216E-2</v>
      </c>
      <c r="L5" s="60">
        <f>[1]Sheet1!$W$23</f>
        <v>8.6956521739130432E-2</v>
      </c>
    </row>
    <row r="6" spans="2:12" s="6" customFormat="1" ht="15.6" customHeight="1" x14ac:dyDescent="0.25">
      <c r="B6" s="80"/>
      <c r="C6" s="7" t="s">
        <v>7</v>
      </c>
      <c r="D6" s="72">
        <v>4</v>
      </c>
      <c r="E6" s="24">
        <v>4.75</v>
      </c>
      <c r="F6" s="25" t="s">
        <v>5</v>
      </c>
      <c r="G6" s="26">
        <v>0</v>
      </c>
      <c r="H6" s="27">
        <v>0.25</v>
      </c>
      <c r="I6" s="28"/>
      <c r="J6" s="58">
        <v>0</v>
      </c>
      <c r="K6" s="59">
        <v>0</v>
      </c>
      <c r="L6" s="60">
        <v>0</v>
      </c>
    </row>
    <row r="7" spans="2:12" s="6" customFormat="1" ht="15.6" customHeight="1" thickBot="1" x14ac:dyDescent="0.3">
      <c r="B7" s="81"/>
      <c r="C7" s="8" t="s">
        <v>8</v>
      </c>
      <c r="D7" s="73">
        <v>15</v>
      </c>
      <c r="E7" s="29">
        <v>0</v>
      </c>
      <c r="F7" s="30">
        <v>0.93333333333333335</v>
      </c>
      <c r="G7" s="31">
        <f>[1]Sheet1!$AA$18</f>
        <v>0.2</v>
      </c>
      <c r="H7" s="32">
        <v>0</v>
      </c>
      <c r="I7" s="33"/>
      <c r="J7" s="61">
        <f>[1]Sheet1!$AA$21</f>
        <v>0.2</v>
      </c>
      <c r="K7" s="62">
        <f>[1]Sheet1!$AA$22</f>
        <v>0.13333333333333333</v>
      </c>
      <c r="L7" s="63">
        <f>[1]Sheet1!$AA$23</f>
        <v>6.6666666666666666E-2</v>
      </c>
    </row>
    <row r="8" spans="2:12" s="6" customFormat="1" ht="15.6" customHeight="1" x14ac:dyDescent="0.25">
      <c r="B8" s="79" t="s">
        <v>9</v>
      </c>
      <c r="C8" s="5" t="s">
        <v>10</v>
      </c>
      <c r="D8" s="71">
        <v>12</v>
      </c>
      <c r="E8" s="19">
        <v>1.5</v>
      </c>
      <c r="F8" s="20">
        <v>8.3333333333333329E-2</v>
      </c>
      <c r="G8" s="21">
        <f>[1]Sheet1!$AC$18</f>
        <v>0.25</v>
      </c>
      <c r="H8" s="22">
        <v>0.41666666666666669</v>
      </c>
      <c r="I8" s="23"/>
      <c r="J8" s="55">
        <f>[1]Sheet1!$AC$21</f>
        <v>8.3333333333333329E-2</v>
      </c>
      <c r="K8" s="56">
        <f>[1]Sheet1!$AC$22</f>
        <v>8.3333333333333329E-2</v>
      </c>
      <c r="L8" s="57">
        <v>0</v>
      </c>
    </row>
    <row r="9" spans="2:12" s="6" customFormat="1" ht="15.6" customHeight="1" x14ac:dyDescent="0.25">
      <c r="B9" s="80"/>
      <c r="C9" s="7" t="s">
        <v>11</v>
      </c>
      <c r="D9" s="72">
        <v>20</v>
      </c>
      <c r="E9" s="24">
        <v>2.15</v>
      </c>
      <c r="F9" s="25">
        <v>0.85</v>
      </c>
      <c r="G9" s="26">
        <v>0</v>
      </c>
      <c r="H9" s="27">
        <v>0.15</v>
      </c>
      <c r="I9" s="28"/>
      <c r="J9" s="58">
        <f>[1]Sheet1!$AE$21</f>
        <v>0.2</v>
      </c>
      <c r="K9" s="59">
        <f>[1]Sheet1!$AE$22</f>
        <v>0.2</v>
      </c>
      <c r="L9" s="60">
        <f>[1]Sheet1!$AE$23</f>
        <v>0.05</v>
      </c>
    </row>
    <row r="10" spans="2:12" s="6" customFormat="1" ht="15.6" customHeight="1" x14ac:dyDescent="0.25">
      <c r="B10" s="80"/>
      <c r="C10" s="7" t="s">
        <v>24</v>
      </c>
      <c r="D10" s="72">
        <v>7</v>
      </c>
      <c r="E10" s="24">
        <v>0</v>
      </c>
      <c r="F10" s="25">
        <v>0.42857142857142855</v>
      </c>
      <c r="G10" s="26">
        <v>0</v>
      </c>
      <c r="H10" s="27">
        <v>0</v>
      </c>
      <c r="I10" s="28"/>
      <c r="J10" s="58">
        <f>[1]Sheet1!$AG$21</f>
        <v>0.5714285714285714</v>
      </c>
      <c r="K10" s="59">
        <f>[1]Sheet1!$AG$22</f>
        <v>0.7142857142857143</v>
      </c>
      <c r="L10" s="60">
        <v>0</v>
      </c>
    </row>
    <row r="11" spans="2:12" s="6" customFormat="1" ht="15.6" customHeight="1" thickBot="1" x14ac:dyDescent="0.3">
      <c r="B11" s="81"/>
      <c r="C11" s="8" t="s">
        <v>12</v>
      </c>
      <c r="D11" s="73">
        <v>4</v>
      </c>
      <c r="E11" s="29">
        <v>0</v>
      </c>
      <c r="F11" s="30">
        <v>0</v>
      </c>
      <c r="G11" s="31">
        <v>0</v>
      </c>
      <c r="H11" s="32">
        <v>0</v>
      </c>
      <c r="I11" s="33"/>
      <c r="J11" s="61">
        <v>0</v>
      </c>
      <c r="K11" s="62">
        <v>0</v>
      </c>
      <c r="L11" s="63">
        <v>0</v>
      </c>
    </row>
    <row r="12" spans="2:12" s="6" customFormat="1" ht="15.6" customHeight="1" x14ac:dyDescent="0.25">
      <c r="B12" s="82" t="s">
        <v>13</v>
      </c>
      <c r="C12" s="10" t="s">
        <v>25</v>
      </c>
      <c r="D12" s="74">
        <v>11</v>
      </c>
      <c r="E12" s="34">
        <v>0.63636363636363635</v>
      </c>
      <c r="F12" s="35">
        <v>0</v>
      </c>
      <c r="G12" s="36">
        <v>0</v>
      </c>
      <c r="H12" s="37">
        <v>0</v>
      </c>
      <c r="I12" s="38"/>
      <c r="J12" s="64">
        <v>0</v>
      </c>
      <c r="K12" s="65">
        <v>0</v>
      </c>
      <c r="L12" s="66">
        <v>0</v>
      </c>
    </row>
    <row r="13" spans="2:12" s="6" customFormat="1" ht="15.6" customHeight="1" x14ac:dyDescent="0.25">
      <c r="B13" s="83"/>
      <c r="C13" s="9" t="s">
        <v>26</v>
      </c>
      <c r="D13" s="75">
        <v>11</v>
      </c>
      <c r="E13" s="24">
        <v>0</v>
      </c>
      <c r="F13" s="25">
        <v>0</v>
      </c>
      <c r="G13" s="26">
        <v>0</v>
      </c>
      <c r="H13" s="39">
        <v>0.27272727272727271</v>
      </c>
      <c r="I13" s="28"/>
      <c r="J13" s="67">
        <v>0</v>
      </c>
      <c r="K13" s="59">
        <v>0</v>
      </c>
      <c r="L13" s="60">
        <v>0</v>
      </c>
    </row>
    <row r="14" spans="2:12" s="6" customFormat="1" ht="15.6" customHeight="1" x14ac:dyDescent="0.25">
      <c r="B14" s="83"/>
      <c r="C14" s="9" t="s">
        <v>27</v>
      </c>
      <c r="D14" s="75">
        <v>5</v>
      </c>
      <c r="E14" s="24">
        <v>1.2</v>
      </c>
      <c r="F14" s="25">
        <v>0.6</v>
      </c>
      <c r="G14" s="26">
        <v>0</v>
      </c>
      <c r="H14" s="39">
        <v>0.6</v>
      </c>
      <c r="I14" s="28"/>
      <c r="J14" s="67">
        <v>0</v>
      </c>
      <c r="K14" s="59">
        <v>0</v>
      </c>
      <c r="L14" s="60">
        <v>0</v>
      </c>
    </row>
    <row r="15" spans="2:12" s="6" customFormat="1" ht="15.6" customHeight="1" x14ac:dyDescent="0.25">
      <c r="B15" s="83"/>
      <c r="C15" s="9" t="s">
        <v>28</v>
      </c>
      <c r="D15" s="75">
        <v>4</v>
      </c>
      <c r="E15" s="24">
        <v>1.75</v>
      </c>
      <c r="F15" s="25">
        <v>0</v>
      </c>
      <c r="G15" s="26">
        <v>0</v>
      </c>
      <c r="H15" s="39">
        <v>0</v>
      </c>
      <c r="I15" s="28"/>
      <c r="J15" s="67">
        <v>0</v>
      </c>
      <c r="K15" s="59">
        <v>0</v>
      </c>
      <c r="L15" s="60">
        <v>0</v>
      </c>
    </row>
    <row r="16" spans="2:12" s="6" customFormat="1" ht="15.45" customHeight="1" thickBot="1" x14ac:dyDescent="0.3">
      <c r="B16" s="84"/>
      <c r="C16" s="11" t="s">
        <v>29</v>
      </c>
      <c r="D16" s="76">
        <v>10</v>
      </c>
      <c r="E16" s="29">
        <v>0</v>
      </c>
      <c r="F16" s="30">
        <v>0</v>
      </c>
      <c r="G16" s="40">
        <f>[1]Sheet1!$AS$18</f>
        <v>0.1</v>
      </c>
      <c r="H16" s="41">
        <v>0</v>
      </c>
      <c r="I16" s="33"/>
      <c r="J16" s="68">
        <f>[1]Sheet1!$AS$21</f>
        <v>0.1</v>
      </c>
      <c r="K16" s="62">
        <v>0</v>
      </c>
      <c r="L16" s="63">
        <v>0</v>
      </c>
    </row>
    <row r="17" spans="2:24" x14ac:dyDescent="0.3">
      <c r="B17" s="12"/>
      <c r="C17" s="13" t="s">
        <v>14</v>
      </c>
      <c r="D17" s="77">
        <v>133</v>
      </c>
      <c r="E17" s="42">
        <v>0.22556390977443608</v>
      </c>
      <c r="F17" s="42">
        <v>0.18796992481203006</v>
      </c>
      <c r="G17" s="42">
        <v>0.22556390977443608</v>
      </c>
      <c r="H17" s="42">
        <v>0.22556390977443608</v>
      </c>
      <c r="I17" s="43" t="s">
        <v>5</v>
      </c>
      <c r="J17" s="54">
        <v>1.8796992481203006E-3</v>
      </c>
      <c r="K17" s="54">
        <v>1.8796992481203006E-3</v>
      </c>
      <c r="L17" s="54">
        <v>1.8796992481203006E-3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9" spans="2:24" hidden="1" x14ac:dyDescent="0.3">
      <c r="E19" s="44"/>
    </row>
    <row r="20" spans="2:24" hidden="1" x14ac:dyDescent="0.3"/>
    <row r="21" spans="2:24" hidden="1" x14ac:dyDescent="0.3">
      <c r="E21" s="47"/>
    </row>
    <row r="22" spans="2:24" hidden="1" x14ac:dyDescent="0.3"/>
    <row r="23" spans="2:24" hidden="1" x14ac:dyDescent="0.3"/>
  </sheetData>
  <mergeCells count="6">
    <mergeCell ref="B4:B7"/>
    <mergeCell ref="B8:B11"/>
    <mergeCell ref="B12:B16"/>
    <mergeCell ref="C1:L1"/>
    <mergeCell ref="E2:I2"/>
    <mergeCell ref="J2:L2"/>
  </mergeCells>
  <conditionalFormatting sqref="E4:E16">
    <cfRule type="colorScale" priority="3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3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0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41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J4:J16">
    <cfRule type="colorScale" priority="42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3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4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2026-04-12T10:49:01Z</dcterms:modified>
</cp:coreProperties>
</file>