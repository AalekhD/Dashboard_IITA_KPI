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74C27BE-7312-4C26-BAC3-DEABC6EF9CAF}" xr6:coauthVersionLast="47" xr6:coauthVersionMax="47" xr10:uidLastSave="{00000000-0000-0000-0000-000000000000}"/>
  <bookViews>
    <workbookView xWindow="28680" yWindow="-120" windowWidth="29040" windowHeight="1572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<sst xmlns="http://schemas.openxmlformats.org/spreadsheetml/2006/main" count="31" uniqueCount="29">
  <si>
    <t>KPI by FTE</t>
  </si>
  <si>
    <t>Recognition and Reputation</t>
  </si>
  <si>
    <t>Society Impact &amp; Inclusion</t>
  </si>
  <si>
    <t>Number of collaborations with ARIs</t>
  </si>
  <si>
    <t>Number of active collaborations with scaling partners</t>
  </si>
  <si>
    <t>Number of awards granted to IITA staff/project teams</t>
  </si>
  <si>
    <t>Number of invitations to IITA staff to give seminars, as guest speakers etc.</t>
  </si>
  <si>
    <t>Number of direct engagements  with senior policymakers to provide strategic advice, influence reforms, or shape national strategies.</t>
  </si>
  <si>
    <t>Approved proposals with gender/youth/social inclusion components (target is 25% of total approved proposals)</t>
  </si>
  <si>
    <t>Approved proposals with inclusion of adaptation/ mitigation activities  (target is 25% of total approved proposals)</t>
  </si>
  <si>
    <t>Approved proposals with inclusion of nutrition and health activities (target is 25% of total approved proposals)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</si>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</sst>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.000_);_(* \(#,##0.000\);_(* &quot;-&quot;??_);_(@_)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b/>
      <sz val="9"/>
      <color rgb="FF00B0F0"/>
      <name val="Calibri"/>
      <family val="2"/>
    </font>
    <font>
      <sz val="10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center"/>
    </xf>
    <xf numFmtId="165" fontId="2" fillId="0" borderId="0" xfId="0" applyNumberFormat="1" applyFont="1"/>
    <xf numFmtId="165" fontId="0" fillId="0" borderId="0" xfId="0" applyNumberFormat="1"/>
    <xf numFmtId="0" fontId="2" fillId="0" borderId="0" xfId="0" applyFont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165" fontId="2" fillId="0" borderId="0" xfId="0" applyNumberFormat="1" applyFont="1" applyAlignment="1">
      <alignment vertical="top"/>
    </xf>
    <xf numFmtId="165" fontId="5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0" borderId="5" xfId="0" applyFont="1" applyBorder="1" applyAlignment="1">
      <alignment horizontal="left" vertical="top" readingOrder="1"/>
    </xf>
    <xf numFmtId="0" fontId="7" fillId="0" borderId="11" xfId="0" applyFont="1" applyBorder="1" applyAlignment="1">
      <alignment horizontal="center" textRotation="90" wrapText="1" readingOrder="1"/>
    </xf>
    <xf numFmtId="0" fontId="7" fillId="0" borderId="12" xfId="0" applyFont="1" applyBorder="1" applyAlignment="1">
      <alignment horizontal="center" textRotation="90" wrapText="1" readingOrder="1"/>
    </xf>
    <xf numFmtId="0" fontId="7" fillId="0" borderId="13" xfId="0" applyFont="1" applyBorder="1" applyAlignment="1">
      <alignment horizontal="center" textRotation="90" wrapText="1" readingOrder="1"/>
    </xf>
    <xf numFmtId="0" fontId="7" fillId="0" borderId="6" xfId="0" applyFont="1" applyBorder="1" applyAlignment="1">
      <alignment horizontal="left" textRotation="90" wrapText="1" readingOrder="1"/>
    </xf>
    <xf numFmtId="0" fontId="7" fillId="0" borderId="3" xfId="0" applyFont="1" applyBorder="1" applyAlignment="1">
      <alignment horizontal="left" textRotation="90" wrapText="1" readingOrder="1"/>
    </xf>
    <xf numFmtId="0" fontId="7" fillId="0" borderId="4" xfId="0" applyFont="1" applyBorder="1" applyAlignment="1">
      <alignment horizontal="left" textRotation="90" wrapText="1" readingOrder="1"/>
    </xf>
    <xf numFmtId="165" fontId="8" fillId="0" borderId="0" xfId="0" applyNumberFormat="1" applyFont="1"/>
    <xf numFmtId="0" fontId="8" fillId="0" borderId="0" xfId="0" applyFont="1"/>
    <xf numFmtId="0" fontId="7" fillId="0" borderId="15" xfId="0" applyFont="1" applyBorder="1" applyAlignment="1">
      <alignment horizontal="left" vertical="center" wrapText="1"/>
    </xf>
    <xf numFmtId="2" fontId="2" fillId="0" borderId="11" xfId="0" applyNumberFormat="1" applyFont="1" applyBorder="1" applyAlignment="1">
      <alignment horizontal="center"/>
    </xf>
    <xf numFmtId="2" fontId="2" fillId="0" borderId="12" xfId="1" applyNumberFormat="1" applyFont="1" applyBorder="1" applyAlignment="1">
      <alignment horizontal="center"/>
    </xf>
    <xf numFmtId="2" fontId="2" fillId="0" borderId="12" xfId="2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center"/>
    </xf>
    <xf numFmtId="2" fontId="2" fillId="0" borderId="17" xfId="0" applyNumberFormat="1" applyFont="1" applyBorder="1" applyAlignment="1">
      <alignment horizontal="center"/>
    </xf>
    <xf numFmtId="2" fontId="2" fillId="0" borderId="9" xfId="0" applyNumberFormat="1" applyFont="1" applyBorder="1" applyAlignment="1">
      <alignment horizontal="center"/>
    </xf>
    <xf numFmtId="165" fontId="9" fillId="0" borderId="0" xfId="0" applyNumberFormat="1" applyFont="1"/>
    <xf numFmtId="0" fontId="9" fillId="0" borderId="0" xfId="0" applyFont="1"/>
    <xf numFmtId="0" fontId="7" fillId="0" borderId="20" xfId="0" applyFont="1" applyBorder="1" applyAlignment="1">
      <alignment horizontal="left" vertical="center" wrapText="1"/>
    </xf>
    <xf numFmtId="2" fontId="2" fillId="0" borderId="18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0" fontId="7" fillId="0" borderId="23" xfId="0" applyFont="1" applyBorder="1" applyAlignment="1">
      <alignment horizontal="left" vertical="center" wrapText="1"/>
    </xf>
    <xf numFmtId="2" fontId="2" fillId="0" borderId="24" xfId="0" applyNumberFormat="1" applyFont="1" applyBorder="1" applyAlignment="1">
      <alignment horizontal="center"/>
    </xf>
    <xf numFmtId="2" fontId="2" fillId="0" borderId="25" xfId="0" applyNumberFormat="1" applyFont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2" fontId="2" fillId="2" borderId="12" xfId="0" applyNumberFormat="1" applyFont="1" applyFill="1" applyBorder="1" applyAlignment="1">
      <alignment horizontal="center"/>
    </xf>
    <xf numFmtId="2" fontId="2" fillId="2" borderId="30" xfId="0" applyNumberFormat="1" applyFont="1" applyFill="1" applyBorder="1" applyAlignment="1">
      <alignment horizontal="center"/>
    </xf>
    <xf numFmtId="2" fontId="2" fillId="0" borderId="31" xfId="0" applyNumberFormat="1" applyFont="1" applyBorder="1" applyAlignment="1">
      <alignment horizontal="center"/>
    </xf>
    <xf numFmtId="2" fontId="2" fillId="0" borderId="32" xfId="0" applyNumberFormat="1" applyFont="1" applyBorder="1" applyAlignment="1">
      <alignment horizontal="center"/>
    </xf>
    <xf numFmtId="2" fontId="2" fillId="2" borderId="18" xfId="0" applyNumberFormat="1" applyFont="1" applyFill="1" applyBorder="1" applyAlignment="1">
      <alignment horizontal="center"/>
    </xf>
    <xf numFmtId="0" fontId="7" fillId="0" borderId="35" xfId="0" applyFont="1" applyBorder="1" applyAlignment="1">
      <alignment horizontal="left" vertical="center" wrapText="1"/>
    </xf>
    <xf numFmtId="2" fontId="2" fillId="0" borderId="36" xfId="0" applyNumberFormat="1" applyFont="1" applyBorder="1" applyAlignment="1">
      <alignment horizontal="center"/>
    </xf>
    <xf numFmtId="2" fontId="2" fillId="0" borderId="37" xfId="1" applyNumberFormat="1" applyFont="1" applyBorder="1" applyAlignment="1">
      <alignment horizontal="center"/>
    </xf>
    <xf numFmtId="2" fontId="2" fillId="0" borderId="37" xfId="2" applyNumberFormat="1" applyFont="1" applyFill="1" applyBorder="1" applyAlignment="1">
      <alignment horizontal="center"/>
    </xf>
    <xf numFmtId="2" fontId="2" fillId="2" borderId="3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165" fontId="10" fillId="0" borderId="0" xfId="0" applyNumberFormat="1" applyFont="1"/>
    <xf numFmtId="0" fontId="10" fillId="0" borderId="0" xfId="0" applyFont="1"/>
    <xf numFmtId="164" fontId="3" fillId="0" borderId="0" xfId="1" applyFont="1" applyAlignment="1">
      <alignment horizontal="left" indent="1"/>
    </xf>
    <xf numFmtId="166" fontId="3" fillId="0" borderId="0" xfId="1" applyNumberFormat="1" applyFont="1" applyAlignment="1">
      <alignment horizontal="left" indent="1"/>
    </xf>
    <xf numFmtId="0" fontId="6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3" fillId="2" borderId="14" xfId="0" applyFont="1" applyFill="1" applyBorder="1" applyAlignment="1">
      <alignment horizontal="center" vertical="center" textRotation="90"/>
    </xf>
    <xf numFmtId="0" fontId="3" fillId="2" borderId="19" xfId="0" applyFont="1" applyFill="1" applyBorder="1" applyAlignment="1">
      <alignment horizontal="center" vertical="center" textRotation="90"/>
    </xf>
    <xf numFmtId="0" fontId="3" fillId="2" borderId="22" xfId="0" applyFont="1" applyFill="1" applyBorder="1" applyAlignment="1">
      <alignment horizontal="center" vertical="center" textRotation="90"/>
    </xf>
    <xf numFmtId="0" fontId="3" fillId="2" borderId="28" xfId="0" applyFont="1" applyFill="1" applyBorder="1" applyAlignment="1">
      <alignment horizontal="center" vertical="center" textRotation="90"/>
    </xf>
    <xf numFmtId="0" fontId="3" fillId="2" borderId="33" xfId="0" applyFont="1" applyFill="1" applyBorder="1" applyAlignment="1">
      <alignment horizontal="center" vertical="center" textRotation="90"/>
    </xf>
    <xf numFmtId="0" fontId="3" fillId="2" borderId="34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top"/>
    </xf>
    <xf numFmtId="0" fontId="3" fillId="2" borderId="8" xfId="0" applyFont="1" applyFill="1" applyBorder="1" applyAlignment="1">
      <alignment horizontal="center" vertical="top"/>
    </xf>
    <xf numFmtId="0" fontId="3" fillId="2" borderId="9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 wrapText="1"/>
    </xf>
    <xf numFmtId="0" fontId="3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AB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F3" sqref="F3"/>
    </sheetView>
  </sheetViews>
  <sheetFormatPr defaultRowHeight="14.4"/>
  <cols>
    <col min="2" max="2" width="3.21875" style="1" customWidth="1"/>
    <col min="3" max="3" width="25.33203125" style="1" customWidth="1"/>
    <col min="4" max="10" width="8.5546875" style="1" customWidth="1"/>
    <col min="11" max="11" width="8.5546875" style="28" customWidth="1"/>
    <col min="12" max="12" width="5.44140625" style="28" customWidth="1"/>
    <col min="13" max="14" width="8.21875" style="3" customWidth="1"/>
  </cols>
  <sheetData>
    <row r="1" spans="2:14" ht="15" thickBot="1">
      <c r="C1" s="65" t="s">
        <v>0</v>
      </c>
      <c r="D1" s="66"/>
      <c r="E1" s="66"/>
      <c r="F1" s="66"/>
      <c r="G1" s="66"/>
      <c r="H1" s="66"/>
      <c r="I1" s="67"/>
      <c r="J1" s="67"/>
      <c r="K1" s="68"/>
      <c r="L1" s="2"/>
    </row>
    <row r="2" spans="2:14" s="8" customFormat="1" ht="25.95" customHeight="1" thickBot="1">
      <c r="B2" s="4"/>
      <c r="C2" s="5"/>
      <c r="D2" s="69" t="s">
        <v>1</v>
      </c>
      <c r="E2" s="70"/>
      <c r="F2" s="70"/>
      <c r="G2" s="70"/>
      <c r="H2" s="71"/>
      <c r="I2" s="72" t="s">
        <v>2</v>
      </c>
      <c r="J2" s="72"/>
      <c r="K2" s="73"/>
      <c r="L2" s="6"/>
      <c r="M2" s="7"/>
      <c r="N2" s="7"/>
    </row>
    <row r="3" spans="2:14" s="18" customFormat="1" ht="132" customHeight="1" thickBot="1">
      <c r="B3" s="9"/>
      <c r="C3" s="10"/>
      <c r="D3" s="11" t="s">
        <v>3</v>
      </c>
      <c r="E3" s="12" t="s">
        <v>4</v>
      </c>
      <c r="F3" s="12" t="s">
        <v>5</v>
      </c>
      <c r="G3" s="12" t="s">
        <v>6</v>
      </c>
      <c r="H3" s="13" t="s">
        <v>7</v>
      </c>
      <c r="I3" s="14" t="s">
        <v>8</v>
      </c>
      <c r="J3" s="15" t="s">
        <v>9</v>
      </c>
      <c r="K3" s="16" t="s">
        <v>10</v>
      </c>
      <c r="L3" s="2"/>
      <c r="M3" s="17"/>
      <c r="N3" s="17"/>
    </row>
    <row r="4" spans="2:14" s="29" customFormat="1" ht="15.6" customHeight="1">
      <c r="B4" s="59" t="s">
        <v>11</v>
      </c>
      <c r="C4" s="19" t="s">
        <v>12</v>
      </c>
      <c r="D4" s="20">
        <v>2.4285714285714284</v>
      </c>
      <c r="E4" s="21" t="s">
        <v>13</v>
      </c>
      <c r="F4" s="22">
        <f>[1]Sheet1!$U$18</f>
        <v>0.14285714285714285</v>
      </c>
      <c r="G4" s="23">
        <v>0</v>
      </c>
      <c r="H4" s="24"/>
      <c r="I4" s="25">
        <v>0</v>
      </c>
      <c r="J4" s="26">
        <v>0</v>
      </c>
      <c r="K4" s="27">
        <v>0</v>
      </c>
      <c r="L4" s="2"/>
      <c r="M4" s="28"/>
      <c r="N4" s="28"/>
    </row>
    <row r="5" spans="2:14" s="29" customFormat="1" ht="15.6" customHeight="1">
      <c r="B5" s="60"/>
      <c r="C5" s="30" t="s">
        <v>14</v>
      </c>
      <c r="D5" s="20">
        <v>1</v>
      </c>
      <c r="E5" s="21" t="s">
        <v>13</v>
      </c>
      <c r="F5" s="22">
        <v>0</v>
      </c>
      <c r="G5" s="23">
        <v>0.13043478260869565</v>
      </c>
      <c r="H5" s="24"/>
      <c r="I5" s="31">
        <f>[1]Sheet1!$W$21</f>
        <v>8.6956521739130432E-2</v>
      </c>
      <c r="J5" s="32">
        <f>[1]Sheet1!$W$22</f>
        <v>4.3478260869565216E-2</v>
      </c>
      <c r="K5" s="24">
        <f>[1]Sheet1!$W$23</f>
        <v>8.6956521739130432E-2</v>
      </c>
      <c r="L5" s="2"/>
      <c r="M5" s="28"/>
      <c r="N5" s="28"/>
    </row>
    <row r="6" spans="2:14" s="29" customFormat="1" ht="15.6" customHeight="1">
      <c r="B6" s="60"/>
      <c r="C6" s="30" t="s">
        <v>15</v>
      </c>
      <c r="D6" s="20">
        <v>4.75</v>
      </c>
      <c r="E6" s="21" t="s">
        <v>13</v>
      </c>
      <c r="F6" s="22">
        <v>0</v>
      </c>
      <c r="G6" s="23">
        <v>0.25</v>
      </c>
      <c r="H6" s="24"/>
      <c r="I6" s="31">
        <v>0</v>
      </c>
      <c r="J6" s="32">
        <v>0</v>
      </c>
      <c r="K6" s="24">
        <v>0</v>
      </c>
      <c r="L6" s="2"/>
      <c r="M6" s="28"/>
      <c r="N6" s="28"/>
    </row>
    <row r="7" spans="2:14" s="29" customFormat="1" ht="15.6" customHeight="1" thickBot="1">
      <c r="B7" s="61"/>
      <c r="C7" s="33" t="s">
        <v>16</v>
      </c>
      <c r="D7" s="20">
        <v>0</v>
      </c>
      <c r="E7" s="21">
        <v>0.93333333333333335</v>
      </c>
      <c r="F7" s="22">
        <f>[1]Sheet1!$AA$18</f>
        <v>0.2</v>
      </c>
      <c r="G7" s="23">
        <v>0</v>
      </c>
      <c r="H7" s="24"/>
      <c r="I7" s="34">
        <f>[1]Sheet1!$AA$21</f>
        <v>0.2</v>
      </c>
      <c r="J7" s="35">
        <f>[1]Sheet1!$AA$22</f>
        <v>0.13333333333333333</v>
      </c>
      <c r="K7" s="36">
        <f>[1]Sheet1!$AA$23</f>
        <v>6.6666666666666666E-2</v>
      </c>
      <c r="L7" s="2"/>
      <c r="M7" s="28"/>
      <c r="N7" s="28"/>
    </row>
    <row r="8" spans="2:14" s="29" customFormat="1" ht="15.6" customHeight="1">
      <c r="B8" s="59" t="s">
        <v>17</v>
      </c>
      <c r="C8" s="19" t="s">
        <v>18</v>
      </c>
      <c r="D8" s="20">
        <v>1.5</v>
      </c>
      <c r="E8" s="21">
        <v>8.3333333333333329E-2</v>
      </c>
      <c r="F8" s="22">
        <f>[1]Sheet1!$AC$18</f>
        <v>0.25</v>
      </c>
      <c r="G8" s="23">
        <v>0.41666666666666669</v>
      </c>
      <c r="H8" s="24"/>
      <c r="I8" s="25">
        <f>[1]Sheet1!$AC$21</f>
        <v>8.3333333333333329E-2</v>
      </c>
      <c r="J8" s="26">
        <f>[1]Sheet1!$AC$22</f>
        <v>8.3333333333333329E-2</v>
      </c>
      <c r="K8" s="27">
        <v>0</v>
      </c>
      <c r="L8" s="2"/>
      <c r="M8" s="28"/>
      <c r="N8" s="28"/>
    </row>
    <row r="9" spans="2:14" s="29" customFormat="1" ht="15.6" customHeight="1">
      <c r="B9" s="60"/>
      <c r="C9" s="30" t="s">
        <v>19</v>
      </c>
      <c r="D9" s="20">
        <v>2.15</v>
      </c>
      <c r="E9" s="21">
        <v>0.85</v>
      </c>
      <c r="F9" s="22">
        <v>0</v>
      </c>
      <c r="G9" s="23">
        <v>0.15</v>
      </c>
      <c r="H9" s="24"/>
      <c r="I9" s="31">
        <f>[1]Sheet1!$AE$21</f>
        <v>0.2</v>
      </c>
      <c r="J9" s="32">
        <f>[1]Sheet1!$AE$22</f>
        <v>0.2</v>
      </c>
      <c r="K9" s="24">
        <f>[1]Sheet1!$AE$23</f>
        <v>0.05</v>
      </c>
      <c r="L9" s="2"/>
      <c r="M9" s="28"/>
      <c r="N9" s="28"/>
    </row>
    <row r="10" spans="2:14" s="29" customFormat="1" ht="15.6" customHeight="1">
      <c r="B10" s="60"/>
      <c r="C10" s="30" t="s">
        <v>20</v>
      </c>
      <c r="D10" s="20">
        <v>0</v>
      </c>
      <c r="E10" s="21">
        <v>0.42857142857142855</v>
      </c>
      <c r="F10" s="22">
        <v>0</v>
      </c>
      <c r="G10" s="23">
        <v>0</v>
      </c>
      <c r="H10" s="24"/>
      <c r="I10" s="31">
        <f>[1]Sheet1!$AG$21</f>
        <v>0.5714285714285714</v>
      </c>
      <c r="J10" s="32">
        <f>[1]Sheet1!$AG$22</f>
        <v>0.7142857142857143</v>
      </c>
      <c r="K10" s="24">
        <v>0</v>
      </c>
      <c r="L10" s="2"/>
      <c r="M10" s="28"/>
      <c r="N10" s="28"/>
    </row>
    <row r="11" spans="2:14" s="29" customFormat="1" ht="15.6" customHeight="1" thickBot="1">
      <c r="B11" s="61"/>
      <c r="C11" s="33" t="s">
        <v>21</v>
      </c>
      <c r="D11" s="20">
        <v>0</v>
      </c>
      <c r="E11" s="21">
        <v>0</v>
      </c>
      <c r="F11" s="22">
        <v>0</v>
      </c>
      <c r="G11" s="23">
        <v>0</v>
      </c>
      <c r="H11" s="24"/>
      <c r="I11" s="34">
        <v>0</v>
      </c>
      <c r="J11" s="35">
        <v>0</v>
      </c>
      <c r="K11" s="36">
        <v>0</v>
      </c>
      <c r="L11" s="2"/>
      <c r="M11" s="28"/>
      <c r="N11" s="28"/>
    </row>
    <row r="12" spans="2:14" s="29" customFormat="1" ht="15.6" customHeight="1">
      <c r="B12" s="62" t="s">
        <v>22</v>
      </c>
      <c r="C12" s="38" t="s">
        <v>23</v>
      </c>
      <c r="D12" s="20">
        <v>0.63636363636363635</v>
      </c>
      <c r="E12" s="21">
        <v>0</v>
      </c>
      <c r="F12" s="22">
        <v>0</v>
      </c>
      <c r="G12" s="39">
        <v>0</v>
      </c>
      <c r="H12" s="24"/>
      <c r="I12" s="40">
        <v>0</v>
      </c>
      <c r="J12" s="41">
        <v>0</v>
      </c>
      <c r="K12" s="42">
        <v>0</v>
      </c>
      <c r="L12" s="2"/>
      <c r="M12" s="28"/>
      <c r="N12" s="28"/>
    </row>
    <row r="13" spans="2:14" s="29" customFormat="1" ht="15.6" customHeight="1">
      <c r="B13" s="63"/>
      <c r="C13" s="37" t="s">
        <v>24</v>
      </c>
      <c r="D13" s="20">
        <v>0</v>
      </c>
      <c r="E13" s="21">
        <v>0</v>
      </c>
      <c r="F13" s="22">
        <v>0</v>
      </c>
      <c r="G13" s="39">
        <v>0.27272727272727271</v>
      </c>
      <c r="H13" s="24"/>
      <c r="I13" s="43">
        <v>0</v>
      </c>
      <c r="J13" s="32">
        <v>0</v>
      </c>
      <c r="K13" s="24">
        <v>0</v>
      </c>
      <c r="L13" s="2"/>
      <c r="M13" s="28"/>
      <c r="N13" s="28"/>
    </row>
    <row r="14" spans="2:14" s="29" customFormat="1" ht="15.6" customHeight="1">
      <c r="B14" s="63"/>
      <c r="C14" s="37" t="s">
        <v>25</v>
      </c>
      <c r="D14" s="20">
        <v>1.2</v>
      </c>
      <c r="E14" s="21">
        <v>0.6</v>
      </c>
      <c r="F14" s="22">
        <v>0</v>
      </c>
      <c r="G14" s="39">
        <v>0.6</v>
      </c>
      <c r="H14" s="24"/>
      <c r="I14" s="43">
        <v>0</v>
      </c>
      <c r="J14" s="32">
        <v>0</v>
      </c>
      <c r="K14" s="24">
        <v>0</v>
      </c>
      <c r="L14" s="2"/>
      <c r="M14" s="28"/>
      <c r="N14" s="28"/>
    </row>
    <row r="15" spans="2:14" s="29" customFormat="1" ht="15.6" customHeight="1">
      <c r="B15" s="63"/>
      <c r="C15" s="37" t="s">
        <v>26</v>
      </c>
      <c r="D15" s="20">
        <v>1.75</v>
      </c>
      <c r="E15" s="21">
        <v>0</v>
      </c>
      <c r="F15" s="22">
        <v>0</v>
      </c>
      <c r="G15" s="39">
        <v>0</v>
      </c>
      <c r="H15" s="24"/>
      <c r="I15" s="43">
        <v>0</v>
      </c>
      <c r="J15" s="32">
        <v>0</v>
      </c>
      <c r="K15" s="24">
        <v>0</v>
      </c>
      <c r="L15" s="2"/>
      <c r="M15" s="28"/>
      <c r="N15" s="28"/>
    </row>
    <row r="16" spans="2:14" s="29" customFormat="1" ht="15.45" customHeight="1" thickBot="1">
      <c r="B16" s="64"/>
      <c r="C16" s="44" t="s">
        <v>27</v>
      </c>
      <c r="D16" s="45">
        <v>0</v>
      </c>
      <c r="E16" s="46">
        <v>0</v>
      </c>
      <c r="F16" s="47">
        <f>[1]Sheet1!$AS$18</f>
        <v>0.1</v>
      </c>
      <c r="G16" s="48">
        <v>0</v>
      </c>
      <c r="H16" s="36"/>
      <c r="I16" s="49">
        <f>[1]Sheet1!$AS$21</f>
        <v>0.1</v>
      </c>
      <c r="J16" s="35">
        <v>0</v>
      </c>
      <c r="K16" s="36">
        <v>0</v>
      </c>
      <c r="L16" s="2"/>
      <c r="M16" s="28"/>
      <c r="N16" s="28"/>
    </row>
    <row r="17" spans="2:28" s="54" customFormat="1">
      <c r="B17" s="51"/>
      <c r="C17" s="52" t="s">
        <v>28</v>
      </c>
      <c r="D17" s="55">
        <v>0.22556390977443608</v>
      </c>
      <c r="E17" s="55">
        <v>0.18796992481203006</v>
      </c>
      <c r="F17" s="55">
        <v>0.22556390977443608</v>
      </c>
      <c r="G17" s="55">
        <v>0.22556390977443608</v>
      </c>
      <c r="H17" s="52"/>
      <c r="I17" s="56">
        <v>1.8796992481203006E-3</v>
      </c>
      <c r="J17" s="56">
        <v>1.8796992481203006E-3</v>
      </c>
      <c r="K17" s="56">
        <v>1.8796992481203006E-3</v>
      </c>
      <c r="L17" s="51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9" spans="2:28" hidden="1">
      <c r="B19" s="57"/>
      <c r="D19" s="58"/>
    </row>
    <row r="20" spans="2:28" hidden="1">
      <c r="B20" s="57"/>
      <c r="D20" s="50"/>
    </row>
    <row r="21" spans="2:28" hidden="1">
      <c r="B21" s="57"/>
      <c r="D21" s="57"/>
    </row>
    <row r="22" spans="2:28" hidden="1"/>
    <row r="23" spans="2:28" hidden="1"/>
  </sheetData>
  <mergeCells count="6">
    <mergeCell ref="B4:B7"/>
    <mergeCell ref="B8:B11"/>
    <mergeCell ref="B12:B16"/>
    <mergeCell ref="C1:K1"/>
    <mergeCell ref="D2:H2"/>
    <mergeCell ref="I2:K2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2026-04-08T16:53:50Z</dcterms:modified>
</cp:coreProperties>
</file>