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98" documentId="13_ncr:1_{66CF1B9A-5766-47EE-9818-482376449DAF}" xr6:coauthVersionLast="47" xr6:coauthVersionMax="47" xr10:uidLastSave="{2379D7E6-3D1F-48FF-9DDA-DDCC4B5B422B}"/>
  <bookViews>
    <workbookView xWindow="-110" yWindow="-110" windowWidth="19420" windowHeight="10300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8" i="1"/>
  <c r="F7" i="1"/>
  <c r="F4" i="1"/>
</calcChain>
</file>

<file path=xl/sharedStrings.xml><?xml version="1.0" encoding="utf-8"?>
<sst xmlns="http://schemas.openxmlformats.org/spreadsheetml/2006/main" count="47" uniqueCount="31">
  <si>
    <t>KPI by FTE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</si>
  <si>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</si>
  <si>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</si>
  <si>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</si>
  <si>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</si>
  <si>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</si>
  <si>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</si>
  <si>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</si>
  <si>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</si>
  <si>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</si>
  <si>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</si>
  <si>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</si>
  <si>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</si>
  <si>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</si>
  <si>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</si>
  <si>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</si>
  <si>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</si>
  <si>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</si>
  <si>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</si>
  <si>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</si>
  <si>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</si>
  <si>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</si>
  <si>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</si>
  <si>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</si>
  <si>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</si>
  <si>
    <t>Genetic Innovation</t>
  </si>
  <si>
    <t>IITA Program</t>
  </si>
  <si>
    <t>Biotechnology</t>
  </si>
  <si>
    <t>N/A</t>
  </si>
  <si>
    <t>Collaboration with Agriculture Research Institutions</t>
  </si>
  <si>
    <t>Full Time Equivalent (FTE)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</si>
</sst>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0" xfId="0" applyFont="1" applyAlignment="1">
      <alignment horizontal="center"/>
    </xf>
    <xf numFmtId="164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vertical="top"/>
    </xf>
    <xf numFmtId="2" fontId="2" fillId="0" borderId="7" xfId="0" applyNumberFormat="1" applyFont="1" applyBorder="1" applyAlignment="1">
      <alignment horizontal="right"/>
    </xf>
    <xf numFmtId="2" fontId="2" fillId="0" borderId="8" xfId="1" applyNumberFormat="1" applyFont="1" applyBorder="1" applyAlignment="1">
      <alignment horizontal="right"/>
    </xf>
    <xf numFmtId="2" fontId="2" fillId="0" borderId="8" xfId="2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17" xfId="0" applyNumberFormat="1" applyFont="1" applyBorder="1" applyAlignment="1">
      <alignment horizontal="right"/>
    </xf>
    <xf numFmtId="2" fontId="2" fillId="0" borderId="18" xfId="1" applyNumberFormat="1" applyFont="1" applyBorder="1" applyAlignment="1">
      <alignment horizontal="right"/>
    </xf>
    <xf numFmtId="2" fontId="2" fillId="2" borderId="8" xfId="0" applyNumberFormat="1" applyFont="1" applyFill="1" applyBorder="1" applyAlignment="1">
      <alignment horizontal="right"/>
    </xf>
    <xf numFmtId="2" fontId="2" fillId="0" borderId="18" xfId="2" applyNumberFormat="1" applyFont="1" applyFill="1" applyBorder="1" applyAlignment="1">
      <alignment horizontal="right"/>
    </xf>
    <xf numFmtId="2" fontId="2" fillId="2" borderId="18" xfId="0" applyNumberFormat="1" applyFont="1" applyFill="1" applyBorder="1" applyAlignment="1">
      <alignment horizontal="right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4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1" applyNumberFormat="1" applyFont="1" applyAlignment="1"/>
    <xf numFmtId="2" fontId="2" fillId="0" borderId="9" xfId="0" applyNumberFormat="1" applyFont="1" applyBorder="1" applyAlignment="1">
      <alignment horizontal="right"/>
    </xf>
    <xf numFmtId="2" fontId="2" fillId="0" borderId="13" xfId="0" applyNumberFormat="1" applyFont="1" applyBorder="1" applyAlignment="1">
      <alignment horizontal="right"/>
    </xf>
    <xf numFmtId="0" fontId="2" fillId="0" borderId="15" xfId="0" applyFont="1" applyBorder="1" applyAlignment="1">
      <alignment horizontal="left" vertical="top" readingOrder="1"/>
    </xf>
    <xf numFmtId="0" fontId="7" fillId="3" borderId="23" xfId="0" applyFont="1" applyFill="1" applyBorder="1"/>
    <xf numFmtId="165" fontId="2" fillId="3" borderId="5" xfId="1" applyNumberFormat="1" applyFont="1" applyFill="1" applyBorder="1" applyAlignment="1">
      <alignment horizontal="right"/>
    </xf>
    <xf numFmtId="0" fontId="4" fillId="0" borderId="29" xfId="0" applyFont="1" applyBorder="1" applyAlignment="1">
      <alignment horizontal="left" textRotation="90" wrapText="1" readingOrder="1"/>
    </xf>
    <xf numFmtId="0" fontId="4" fillId="0" borderId="2" xfId="0" applyFont="1" applyBorder="1" applyAlignment="1">
      <alignment horizontal="left" textRotation="90" wrapText="1" readingOrder="1"/>
    </xf>
    <xf numFmtId="0" fontId="4" fillId="0" borderId="30" xfId="0" applyFont="1" applyBorder="1" applyAlignment="1">
      <alignment horizontal="left" textRotation="90" wrapText="1" readingOrder="1"/>
    </xf>
    <xf numFmtId="2" fontId="7" fillId="3" borderId="31" xfId="1" applyNumberFormat="1" applyFont="1" applyFill="1" applyBorder="1" applyAlignment="1">
      <alignment horizontal="right" indent="1"/>
    </xf>
    <xf numFmtId="2" fontId="7" fillId="3" borderId="31" xfId="0" applyNumberFormat="1" applyFont="1" applyFill="1" applyBorder="1" applyAlignment="1">
      <alignment horizontal="right" indent="1"/>
    </xf>
    <xf numFmtId="9" fontId="7" fillId="3" borderId="31" xfId="2" applyFont="1" applyFill="1" applyBorder="1" applyAlignment="1">
      <alignment horizontal="right" indent="1"/>
    </xf>
    <xf numFmtId="9" fontId="7" fillId="3" borderId="31" xfId="2" applyFont="1" applyFill="1" applyBorder="1" applyAlignment="1">
      <alignment horizontal="right"/>
    </xf>
    <xf numFmtId="9" fontId="7" fillId="3" borderId="27" xfId="2" applyFont="1" applyFill="1" applyBorder="1" applyAlignment="1">
      <alignment horizontal="right" indent="1"/>
    </xf>
    <xf numFmtId="0" fontId="7" fillId="2" borderId="23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165" fontId="7" fillId="2" borderId="28" xfId="1" applyNumberFormat="1" applyFont="1" applyFill="1" applyBorder="1" applyAlignment="1">
      <alignment vertical="center"/>
    </xf>
    <xf numFmtId="165" fontId="4" fillId="0" borderId="32" xfId="1" applyNumberFormat="1" applyFont="1" applyBorder="1" applyAlignment="1">
      <alignment vertical="center" wrapText="1"/>
    </xf>
    <xf numFmtId="165" fontId="4" fillId="0" borderId="33" xfId="1" applyNumberFormat="1" applyFont="1" applyBorder="1" applyAlignment="1">
      <alignment vertical="center" wrapText="1"/>
    </xf>
    <xf numFmtId="165" fontId="4" fillId="0" borderId="34" xfId="1" applyNumberFormat="1" applyFont="1" applyBorder="1" applyAlignment="1">
      <alignment vertical="center" wrapText="1"/>
    </xf>
    <xf numFmtId="9" fontId="2" fillId="0" borderId="7" xfId="2" applyFont="1" applyBorder="1" applyAlignment="1">
      <alignment horizontal="right"/>
    </xf>
    <xf numFmtId="9" fontId="2" fillId="0" borderId="8" xfId="2" applyFont="1" applyBorder="1" applyAlignment="1">
      <alignment horizontal="right"/>
    </xf>
    <xf numFmtId="9" fontId="2" fillId="0" borderId="9" xfId="2" applyFont="1" applyBorder="1" applyAlignment="1">
      <alignment horizontal="right"/>
    </xf>
    <xf numFmtId="9" fontId="2" fillId="2" borderId="17" xfId="0" applyNumberFormat="1" applyFont="1" applyFill="1" applyBorder="1" applyAlignment="1">
      <alignment horizontal="right"/>
    </xf>
    <xf numFmtId="9" fontId="2" fillId="0" borderId="18" xfId="2" applyFont="1" applyBorder="1" applyAlignment="1">
      <alignment horizontal="right"/>
    </xf>
    <xf numFmtId="9" fontId="2" fillId="0" borderId="13" xfId="2" applyFont="1" applyBorder="1" applyAlignment="1">
      <alignment horizontal="right"/>
    </xf>
    <xf numFmtId="0" fontId="4" fillId="0" borderId="35" xfId="0" applyFont="1" applyBorder="1" applyAlignment="1">
      <alignment horizontal="left" textRotation="90" wrapText="1" readingOrder="1"/>
    </xf>
    <xf numFmtId="2" fontId="2" fillId="0" borderId="36" xfId="0" applyNumberFormat="1" applyFont="1" applyBorder="1" applyAlignment="1">
      <alignment horizontal="right"/>
    </xf>
    <xf numFmtId="2" fontId="2" fillId="0" borderId="37" xfId="1" applyNumberFormat="1" applyFont="1" applyBorder="1" applyAlignment="1">
      <alignment horizontal="right"/>
    </xf>
    <xf numFmtId="2" fontId="2" fillId="0" borderId="37" xfId="2" applyNumberFormat="1" applyFont="1" applyBorder="1" applyAlignment="1">
      <alignment horizontal="right"/>
    </xf>
    <xf numFmtId="2" fontId="2" fillId="0" borderId="37" xfId="0" applyNumberFormat="1" applyFont="1" applyBorder="1" applyAlignment="1">
      <alignment horizontal="right"/>
    </xf>
    <xf numFmtId="2" fontId="2" fillId="0" borderId="38" xfId="0" applyNumberFormat="1" applyFont="1" applyBorder="1" applyAlignment="1">
      <alignment horizontal="right"/>
    </xf>
    <xf numFmtId="9" fontId="2" fillId="0" borderId="36" xfId="2" applyFont="1" applyBorder="1" applyAlignment="1">
      <alignment horizontal="right"/>
    </xf>
    <xf numFmtId="9" fontId="2" fillId="0" borderId="37" xfId="2" applyFont="1" applyBorder="1" applyAlignment="1">
      <alignment horizontal="right"/>
    </xf>
    <xf numFmtId="9" fontId="2" fillId="0" borderId="38" xfId="2" applyFont="1" applyBorder="1" applyAlignment="1">
      <alignment horizontal="right"/>
    </xf>
    <xf numFmtId="2" fontId="2" fillId="0" borderId="18" xfId="2" applyNumberFormat="1" applyFont="1" applyBorder="1" applyAlignment="1">
      <alignment horizontal="right"/>
    </xf>
    <xf numFmtId="2" fontId="2" fillId="0" borderId="18" xfId="0" applyNumberFormat="1" applyFont="1" applyBorder="1" applyAlignment="1">
      <alignment horizontal="right"/>
    </xf>
    <xf numFmtId="9" fontId="2" fillId="0" borderId="17" xfId="2" applyFont="1" applyBorder="1" applyAlignment="1">
      <alignment horizontal="right"/>
    </xf>
    <xf numFmtId="9" fontId="6" fillId="4" borderId="26" xfId="0" applyNumberFormat="1" applyFont="1" applyFill="1" applyBorder="1"/>
    <xf numFmtId="2" fontId="2" fillId="2" borderId="37" xfId="0" applyNumberFormat="1" applyFont="1" applyFill="1" applyBorder="1" applyAlignment="1">
      <alignment horizontal="right"/>
    </xf>
    <xf numFmtId="0" fontId="7" fillId="2" borderId="1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0" borderId="2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26" xfId="0" applyFont="1" applyBorder="1" applyAlignment="1">
      <alignment horizontal="center" vertical="top"/>
    </xf>
    <xf numFmtId="0" fontId="7" fillId="0" borderId="27" xfId="0" applyFont="1" applyBorder="1" applyAlignment="1">
      <alignment horizontal="center" vertical="top"/>
    </xf>
    <xf numFmtId="0" fontId="7" fillId="2" borderId="10" xfId="0" applyFont="1" applyFill="1" applyBorder="1" applyAlignment="1">
      <alignment horizontal="center" vertical="center" textRotation="90" wrapText="1"/>
    </xf>
    <xf numFmtId="0" fontId="7" fillId="2" borderId="11" xfId="0" applyFont="1" applyFill="1" applyBorder="1" applyAlignment="1">
      <alignment horizontal="center" vertical="center" textRotation="90" wrapText="1"/>
    </xf>
    <xf numFmtId="0" fontId="7" fillId="2" borderId="12" xfId="0" applyFont="1" applyFill="1" applyBorder="1" applyAlignment="1">
      <alignment horizontal="center" vertical="center" textRotation="90" wrapText="1"/>
    </xf>
    <xf numFmtId="0" fontId="7" fillId="2" borderId="14" xfId="0" applyFont="1" applyFill="1" applyBorder="1" applyAlignment="1">
      <alignment horizontal="center" vertical="center" textRotation="90" wrapText="1"/>
    </xf>
    <xf numFmtId="0" fontId="7" fillId="2" borderId="15" xfId="0" applyFont="1" applyFill="1" applyBorder="1" applyAlignment="1">
      <alignment horizontal="center" vertical="center" textRotation="90" wrapText="1"/>
    </xf>
    <xf numFmtId="0" fontId="7" fillId="2" borderId="16" xfId="0" applyFont="1" applyFill="1" applyBorder="1" applyAlignment="1">
      <alignment horizontal="center" vertical="center" textRotation="90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KPI%20data%20for%20IITA%20for%20AI%20upload.xlsx" TargetMode="External"/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Sheet1"/>
    </sheetNames>
    <sheetDataSet>
      <sheetData sheetId="1"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A1:W23"/>
  <sheetViews>
    <sheetView tabSelected="1" topLeftCell="B3" zoomScale="75" zoomScaleNormal="75" zoomScaleSheetLayoutView="75" workbookViewId="0">
      <selection activeCell="R7" sqref="R7"/>
    </sheetView>
  </sheetViews>
  <sheetFormatPr defaultRowHeight="14.5" x14ac:dyDescent="0.35"/>
  <cols>
    <col min="1" max="1" width="8.1796875" style="1" customWidth="1"/>
    <col min="2" max="2" width="41.90625" style="1" customWidth="1"/>
    <col min="3" max="3" width="4.36328125" style="21" customWidth="1"/>
    <col min="4" max="10" width="7.1796875" style="18" customWidth="1"/>
    <col min="11" max="11" width="7.1796875" style="19" customWidth="1"/>
  </cols>
  <sheetData>
    <row r="1" spans="1:11" s="6" customFormat="1" ht="15" thickBot="1" x14ac:dyDescent="0.4">
      <c r="A1" s="5"/>
      <c r="B1" s="63" t="s">
        <v>0</v>
      </c>
      <c r="C1" s="64"/>
      <c r="D1" s="65"/>
      <c r="E1" s="65"/>
      <c r="F1" s="65"/>
      <c r="G1" s="65"/>
      <c r="H1" s="65"/>
      <c r="I1" s="66"/>
      <c r="J1" s="66"/>
      <c r="K1" s="67"/>
    </row>
    <row r="2" spans="1:11" s="7" customFormat="1" ht="26" customHeight="1" thickBot="1" x14ac:dyDescent="0.4">
      <c r="A2" s="76"/>
      <c r="B2" s="35" t="s">
        <v>26</v>
      </c>
      <c r="C2" s="39"/>
      <c r="D2" s="68" t="s">
        <v>1</v>
      </c>
      <c r="E2" s="69"/>
      <c r="F2" s="69"/>
      <c r="G2" s="69"/>
      <c r="H2" s="70"/>
      <c r="I2" s="71" t="s">
        <v>2</v>
      </c>
      <c r="J2" s="72"/>
      <c r="K2" s="73"/>
    </row>
    <row r="3" spans="1:11" s="3" customFormat="1" ht="132" customHeight="1" thickBot="1" x14ac:dyDescent="0.3">
      <c r="A3" s="77"/>
      <c r="B3" s="24"/>
      <c r="C3" s="49" t="s">
        <v>30</v>
      </c>
      <c r="D3" s="27" t="s">
        <v>29</v>
      </c>
      <c r="E3" s="28" t="s">
        <v>10</v>
      </c>
      <c r="F3" s="28" t="s">
        <v>11</v>
      </c>
      <c r="G3" s="28" t="s">
        <v>12</v>
      </c>
      <c r="H3" s="29" t="s">
        <v>13</v>
      </c>
      <c r="I3" s="27" t="s">
        <v>14</v>
      </c>
      <c r="J3" s="28" t="s">
        <v>15</v>
      </c>
      <c r="K3" s="29" t="s">
        <v>16</v>
      </c>
    </row>
    <row r="4" spans="1:11" s="4" customFormat="1" ht="15.65" customHeight="1" x14ac:dyDescent="0.3">
      <c r="A4" s="78" t="s">
        <v>25</v>
      </c>
      <c r="B4" s="36" t="s">
        <v>27</v>
      </c>
      <c r="C4" s="40">
        <v>7</v>
      </c>
      <c r="D4" s="50">
        <v>2.4285714285714284</v>
      </c>
      <c r="E4" s="51" t="s">
        <v>28</v>
      </c>
      <c r="F4" s="52">
        <f>[1]Sheet1!$U$18</f>
        <v>0.14285714285714285</v>
      </c>
      <c r="G4" s="53">
        <v>0</v>
      </c>
      <c r="H4" s="54" t="s">
        <v>28</v>
      </c>
      <c r="I4" s="55">
        <v>0</v>
      </c>
      <c r="J4" s="56">
        <v>0</v>
      </c>
      <c r="K4" s="57">
        <v>0</v>
      </c>
    </row>
    <row r="5" spans="1:11" s="4" customFormat="1" ht="15.65" customHeight="1" x14ac:dyDescent="0.3">
      <c r="A5" s="79"/>
      <c r="B5" s="37" t="s">
        <v>3</v>
      </c>
      <c r="C5" s="41">
        <v>23</v>
      </c>
      <c r="D5" s="8">
        <v>1</v>
      </c>
      <c r="E5" s="9" t="s">
        <v>28</v>
      </c>
      <c r="F5" s="10">
        <v>0</v>
      </c>
      <c r="G5" s="11">
        <v>0.13043478260869565</v>
      </c>
      <c r="H5" s="22" t="s">
        <v>28</v>
      </c>
      <c r="I5" s="43">
        <v>0.28999999999999998</v>
      </c>
      <c r="J5" s="44">
        <v>0.14000000000000001</v>
      </c>
      <c r="K5" s="45">
        <v>0.28999999999999998</v>
      </c>
    </row>
    <row r="6" spans="1:11" s="4" customFormat="1" ht="15.65" customHeight="1" x14ac:dyDescent="0.3">
      <c r="A6" s="79"/>
      <c r="B6" s="37" t="s">
        <v>4</v>
      </c>
      <c r="C6" s="41">
        <v>4</v>
      </c>
      <c r="D6" s="8">
        <v>4.75</v>
      </c>
      <c r="E6" s="9" t="s">
        <v>28</v>
      </c>
      <c r="F6" s="10">
        <v>0</v>
      </c>
      <c r="G6" s="11">
        <v>0.25</v>
      </c>
      <c r="H6" s="22" t="s">
        <v>28</v>
      </c>
      <c r="I6" s="43">
        <v>0</v>
      </c>
      <c r="J6" s="44">
        <v>0</v>
      </c>
      <c r="K6" s="45">
        <v>0</v>
      </c>
    </row>
    <row r="7" spans="1:11" s="4" customFormat="1" ht="15.65" customHeight="1" thickBot="1" x14ac:dyDescent="0.35">
      <c r="A7" s="80"/>
      <c r="B7" s="38" t="s">
        <v>5</v>
      </c>
      <c r="C7" s="42">
        <v>15</v>
      </c>
      <c r="D7" s="12">
        <v>0</v>
      </c>
      <c r="E7" s="13">
        <v>0.93333333333333335</v>
      </c>
      <c r="F7" s="58">
        <f>[1]Sheet1!$AA$18</f>
        <v>0.2</v>
      </c>
      <c r="G7" s="59">
        <v>0</v>
      </c>
      <c r="H7" s="23" t="s">
        <v>28</v>
      </c>
      <c r="I7" s="60">
        <v>0.43</v>
      </c>
      <c r="J7" s="47">
        <v>0.28999999999999998</v>
      </c>
      <c r="K7" s="48">
        <v>0.14000000000000001</v>
      </c>
    </row>
    <row r="8" spans="1:11" s="4" customFormat="1" ht="15.65" customHeight="1" x14ac:dyDescent="0.3">
      <c r="A8" s="78" t="s">
        <v>23</v>
      </c>
      <c r="B8" s="36" t="s">
        <v>6</v>
      </c>
      <c r="C8" s="40">
        <v>12</v>
      </c>
      <c r="D8" s="50">
        <v>1.5</v>
      </c>
      <c r="E8" s="51">
        <v>8.3333333333333329E-2</v>
      </c>
      <c r="F8" s="52">
        <f>[1]Sheet1!$AC$18</f>
        <v>0.25</v>
      </c>
      <c r="G8" s="53">
        <v>0.41666666666666669</v>
      </c>
      <c r="H8" s="54" t="s">
        <v>28</v>
      </c>
      <c r="I8" s="55">
        <v>0.33</v>
      </c>
      <c r="J8" s="56">
        <v>0.33</v>
      </c>
      <c r="K8" s="57">
        <v>0</v>
      </c>
    </row>
    <row r="9" spans="1:11" s="4" customFormat="1" ht="15.65" customHeight="1" x14ac:dyDescent="0.3">
      <c r="A9" s="79"/>
      <c r="B9" s="37" t="s">
        <v>7</v>
      </c>
      <c r="C9" s="41">
        <v>20</v>
      </c>
      <c r="D9" s="8">
        <v>2.15</v>
      </c>
      <c r="E9" s="9">
        <v>0.85</v>
      </c>
      <c r="F9" s="10">
        <v>0</v>
      </c>
      <c r="G9" s="11">
        <v>0.15</v>
      </c>
      <c r="H9" s="22" t="s">
        <v>28</v>
      </c>
      <c r="I9" s="43">
        <v>0.44</v>
      </c>
      <c r="J9" s="44">
        <v>0.44</v>
      </c>
      <c r="K9" s="61">
        <v>0.11</v>
      </c>
    </row>
    <row r="10" spans="1:11" s="4" customFormat="1" ht="15.65" customHeight="1" x14ac:dyDescent="0.3">
      <c r="A10" s="79"/>
      <c r="B10" s="37" t="s">
        <v>17</v>
      </c>
      <c r="C10" s="41">
        <v>7</v>
      </c>
      <c r="D10" s="8">
        <v>0</v>
      </c>
      <c r="E10" s="9">
        <v>0.42857142857142855</v>
      </c>
      <c r="F10" s="10">
        <v>0</v>
      </c>
      <c r="G10" s="11">
        <v>0</v>
      </c>
      <c r="H10" s="22" t="s">
        <v>28</v>
      </c>
      <c r="I10" s="43">
        <v>0.56999999999999995</v>
      </c>
      <c r="J10" s="44">
        <v>0.71</v>
      </c>
      <c r="K10" s="45">
        <v>0</v>
      </c>
    </row>
    <row r="11" spans="1:11" s="4" customFormat="1" ht="15.65" customHeight="1" thickBot="1" x14ac:dyDescent="0.35">
      <c r="A11" s="80"/>
      <c r="B11" s="38" t="s">
        <v>8</v>
      </c>
      <c r="C11" s="42">
        <v>4</v>
      </c>
      <c r="D11" s="12">
        <v>0</v>
      </c>
      <c r="E11" s="13">
        <v>0</v>
      </c>
      <c r="F11" s="58">
        <v>0</v>
      </c>
      <c r="G11" s="59">
        <v>0</v>
      </c>
      <c r="H11" s="23" t="s">
        <v>28</v>
      </c>
      <c r="I11" s="60">
        <v>0</v>
      </c>
      <c r="J11" s="47">
        <v>0</v>
      </c>
      <c r="K11" s="48">
        <v>0</v>
      </c>
    </row>
    <row r="12" spans="1:11" s="4" customFormat="1" ht="15.65" customHeight="1" x14ac:dyDescent="0.3">
      <c r="A12" s="81" t="s">
        <v>24</v>
      </c>
      <c r="B12" s="36" t="s">
        <v>18</v>
      </c>
      <c r="C12" s="40">
        <v>11</v>
      </c>
      <c r="D12" s="50">
        <v>0.63636363636363635</v>
      </c>
      <c r="E12" s="51">
        <v>0</v>
      </c>
      <c r="F12" s="52">
        <v>0</v>
      </c>
      <c r="G12" s="62">
        <v>0</v>
      </c>
      <c r="H12" s="54" t="s">
        <v>28</v>
      </c>
      <c r="I12" s="55">
        <v>0</v>
      </c>
      <c r="J12" s="56">
        <v>0</v>
      </c>
      <c r="K12" s="57">
        <v>0</v>
      </c>
    </row>
    <row r="13" spans="1:11" s="4" customFormat="1" ht="15.65" customHeight="1" x14ac:dyDescent="0.3">
      <c r="A13" s="82"/>
      <c r="B13" s="37" t="s">
        <v>19</v>
      </c>
      <c r="C13" s="41">
        <v>11</v>
      </c>
      <c r="D13" s="8">
        <v>0</v>
      </c>
      <c r="E13" s="9">
        <v>0</v>
      </c>
      <c r="F13" s="10">
        <v>0</v>
      </c>
      <c r="G13" s="14">
        <v>0.27272727272727271</v>
      </c>
      <c r="H13" s="22" t="s">
        <v>28</v>
      </c>
      <c r="I13" s="43">
        <v>0</v>
      </c>
      <c r="J13" s="44">
        <v>0</v>
      </c>
      <c r="K13" s="45">
        <v>0</v>
      </c>
    </row>
    <row r="14" spans="1:11" s="4" customFormat="1" ht="15.65" customHeight="1" x14ac:dyDescent="0.3">
      <c r="A14" s="82"/>
      <c r="B14" s="37" t="s">
        <v>20</v>
      </c>
      <c r="C14" s="41">
        <v>5</v>
      </c>
      <c r="D14" s="8">
        <v>1.2</v>
      </c>
      <c r="E14" s="9">
        <v>0.6</v>
      </c>
      <c r="F14" s="10">
        <v>0</v>
      </c>
      <c r="G14" s="14">
        <v>0.6</v>
      </c>
      <c r="H14" s="22" t="s">
        <v>28</v>
      </c>
      <c r="I14" s="43">
        <v>0</v>
      </c>
      <c r="J14" s="44">
        <v>0</v>
      </c>
      <c r="K14" s="45">
        <v>0</v>
      </c>
    </row>
    <row r="15" spans="1:11" s="4" customFormat="1" ht="15.65" customHeight="1" x14ac:dyDescent="0.3">
      <c r="A15" s="82"/>
      <c r="B15" s="37" t="s">
        <v>21</v>
      </c>
      <c r="C15" s="41">
        <v>4</v>
      </c>
      <c r="D15" s="8">
        <v>1.75</v>
      </c>
      <c r="E15" s="9">
        <v>0</v>
      </c>
      <c r="F15" s="10">
        <v>0</v>
      </c>
      <c r="G15" s="14">
        <v>0</v>
      </c>
      <c r="H15" s="22" t="s">
        <v>28</v>
      </c>
      <c r="I15" s="43">
        <v>0</v>
      </c>
      <c r="J15" s="44">
        <v>0</v>
      </c>
      <c r="K15" s="45">
        <v>0</v>
      </c>
    </row>
    <row r="16" spans="1:11" s="4" customFormat="1" ht="15.5" customHeight="1" thickBot="1" x14ac:dyDescent="0.35">
      <c r="A16" s="83"/>
      <c r="B16" s="38" t="s">
        <v>22</v>
      </c>
      <c r="C16" s="42">
        <v>10</v>
      </c>
      <c r="D16" s="12">
        <v>0</v>
      </c>
      <c r="E16" s="13">
        <v>0</v>
      </c>
      <c r="F16" s="15">
        <f>[1]Sheet1!$AS$18</f>
        <v>0.1</v>
      </c>
      <c r="G16" s="16">
        <v>0</v>
      </c>
      <c r="H16" s="23" t="s">
        <v>28</v>
      </c>
      <c r="I16" s="46">
        <v>1</v>
      </c>
      <c r="J16" s="47">
        <v>0</v>
      </c>
      <c r="K16" s="48">
        <v>0</v>
      </c>
    </row>
    <row r="17" spans="1:23" ht="15" thickBot="1" x14ac:dyDescent="0.4">
      <c r="A17" s="74"/>
      <c r="B17" s="25" t="s">
        <v>9</v>
      </c>
      <c r="C17" s="26">
        <v>133</v>
      </c>
      <c r="D17" s="30">
        <v>0.22556390977443608</v>
      </c>
      <c r="E17" s="30">
        <v>0.18796992481203006</v>
      </c>
      <c r="F17" s="30">
        <v>0.22556390977443608</v>
      </c>
      <c r="G17" s="30">
        <v>0.22556390977443608</v>
      </c>
      <c r="H17" s="31" t="s">
        <v>28</v>
      </c>
      <c r="I17" s="32">
        <v>0.25</v>
      </c>
      <c r="J17" s="33">
        <v>0.25</v>
      </c>
      <c r="K17" s="34">
        <v>0.25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35">
      <c r="A18" s="75"/>
    </row>
    <row r="19" spans="1:23" hidden="1" x14ac:dyDescent="0.35">
      <c r="D19" s="17"/>
    </row>
    <row r="20" spans="1:23" hidden="1" x14ac:dyDescent="0.35"/>
    <row r="21" spans="1:23" hidden="1" x14ac:dyDescent="0.35">
      <c r="D21" s="20"/>
    </row>
    <row r="22" spans="1:23" hidden="1" x14ac:dyDescent="0.35"/>
    <row r="23" spans="1:23" hidden="1" x14ac:dyDescent="0.35"/>
  </sheetData>
  <mergeCells count="8">
    <mergeCell ref="B1:K1"/>
    <mergeCell ref="D2:H2"/>
    <mergeCell ref="I2:K2"/>
    <mergeCell ref="A17:A18"/>
    <mergeCell ref="A2:A3"/>
    <mergeCell ref="A4:A7"/>
    <mergeCell ref="A8:A11"/>
    <mergeCell ref="A12:A16"/>
  </mergeCells>
  <conditionalFormatting sqref="D4:D16">
    <cfRule type="colorScale" priority="46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47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48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9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I4:I16">
    <cfRule type="colorScale" priority="50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">
    <cfRule type="colorScale" priority="3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6">
    <cfRule type="colorScale" priority="4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7:J10 J5">
    <cfRule type="colorScale" priority="51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J11:J16">
    <cfRule type="colorScale" priority="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K4">
    <cfRule type="colorScale" priority="2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6">
    <cfRule type="colorScale" priority="5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7 K5">
    <cfRule type="colorScale" priority="52">
      <colorScale>
        <cfvo type="num" val="0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8">
    <cfRule type="colorScale" priority="6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10:K16">
    <cfRule type="colorScale" priority="7">
      <colorScale>
        <cfvo type="min"/>
        <cfvo type="formula" val="$K$17/2"/>
        <cfvo type="formula" val="$I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2026-04-08T13:57:25Z</dcterms:created>
  <dcterms:modified xsi:type="dcterms:W3CDTF">2026-04-24T11:20:52Z</dcterms:modified>
</cp:coreProperties>
</file>