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earning\Miscellaneous\KPIDashboard\data\"/>
    </mc:Choice>
  </mc:AlternateContent>
  <xr:revisionPtr revIDLastSave="0" documentId="13_ncr:1_{8C223FC5-1E19-4DBA-90DD-A9C0456F7BA6}" xr6:coauthVersionLast="47" xr6:coauthVersionMax="47" xr10:uidLastSave="{00000000-0000-0000-0000-000000000000}"/>
  <bookViews>
    <workbookView xWindow="28680" yWindow="-120" windowWidth="29040" windowHeight="15720" xr2:uid="{76F2D5A9-3AE0-44CD-930A-817A40FC2D01}"/>
  </bookViews>
  <sheets>
    <sheet name="Reputation, Society" sheetId="1" r:id="rId1"/>
  </sheets>
  <externalReferences>
    <externalReference r:id="rId2"/>
  </externalReferences>
  <definedNames>
    <definedName name="_Hlk200085589" localSheetId="0">'Reputation, Society'!#REF!</definedName>
    <definedName name="_xlnm.Print_Area" localSheetId="0">'Reputation, Society'!$B$1:$L$17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G16" i="1"/>
  <c r="K10" i="1"/>
  <c r="J10" i="1"/>
  <c r="L9" i="1"/>
  <c r="K9" i="1"/>
  <c r="J9" i="1"/>
  <c r="K8" i="1"/>
  <c r="J8" i="1"/>
  <c r="G8" i="1"/>
  <c r="L7" i="1"/>
  <c r="K7" i="1"/>
  <c r="J7" i="1"/>
  <c r="G7" i="1"/>
  <c r="L5" i="1"/>
  <c r="K5" i="1"/>
  <c r="J5" i="1"/>
  <c r="G4" i="1"/>
</calcChain>
</file>

<file path=xl/sharedStrings.xml><?xml version="1.0" encoding="utf-8"?>
<sst xmlns="http://schemas.openxmlformats.org/spreadsheetml/2006/main" count="46" uniqueCount="30">
  <si>
    <t>KPI by FTE</t>
  </si>
  <si>
    <t>Recognition and Reputation</t>
  </si>
  <si>
    <t>Society Impact &amp; Inclusion</t>
  </si>
  <si>
    <t>GI</t>
  </si>
  <si>
    <t>Biotech</t>
  </si>
  <si>
    <t>N/A</t>
  </si>
  <si>
    <t>Breeding</t>
  </si>
  <si>
    <t>Genebanks</t>
  </si>
  <si>
    <t>Seed System</t>
  </si>
  <si>
    <t>Plant Health</t>
  </si>
  <si>
    <t>Farming Systems Agronomy</t>
  </si>
  <si>
    <t>Mechanization</t>
  </si>
  <si>
    <t>per Program Target (target/13)</t>
  </si>
  <si>
    <t>Collaboration with Agriculture Research Institutions</t>
  </si>
  <si>
    <t>Active collaborations with scaling partners</t>
  </si>
  <si>
    <t>Awards granted to IITA staff or project teams</t>
  </si>
  <si>
    <t xml:space="preserve"> Invitations for presentations or seminars</t>
  </si>
  <si>
    <t>High level engagements</t>
  </si>
  <si>
    <t xml:space="preserve"> Approved proposals with GeYSI components</t>
  </si>
  <si>
    <t>Approved proposals with climate components</t>
  </si>
  <si>
    <t>Approved proposals with nutrition ad health components</t>
  </si>
  <si>
    <t>FTE</t>
  </si>
  <si>
    <t>Natural Resource Management</t>
  </si>
  <si>
    <t>Foresight &amp; Impact Assessment</t>
  </si>
  <si>
    <t>Gender, Youth &amp; Social Inclusion</t>
  </si>
  <si>
    <t>Reslience &amp; Climate Adaptation</t>
  </si>
  <si>
    <t>Nutrition and Health</t>
  </si>
  <si>
    <t>Value Chain Markets and Agribusiness</t>
  </si>
  <si>
    <t>Resilient Agrifood Systems</t>
  </si>
  <si>
    <t>Systems Transformation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</si>
</sst>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"/>
    <numFmt numFmtId="166" formatCode="0.000"/>
    <numFmt numFmtId="167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9"/>
      <color rgb="FFFF0000"/>
      <name val="Calibri"/>
      <family val="2"/>
    </font>
    <font>
      <sz val="9"/>
      <color rgb="FF000000"/>
      <name val="Calibri"/>
      <family val="2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B050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B050"/>
      </top>
      <bottom style="thin">
        <color rgb="FF00B050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B050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2" fillId="0" borderId="0" xfId="0" applyFont="1" applyAlignment="1">
      <alignment horizontal="center"/>
    </xf>
    <xf numFmtId="165" fontId="0" fillId="0" borderId="0" xfId="0" applyNumberFormat="1"/>
    <xf numFmtId="0" fontId="2" fillId="0" borderId="0" xfId="0" applyFont="1" applyAlignment="1">
      <alignment horizontal="center" readingOrder="1"/>
    </xf>
    <xf numFmtId="0" fontId="5" fillId="0" borderId="0" xfId="0" applyFont="1"/>
    <xf numFmtId="0" fontId="4" fillId="0" borderId="15" xfId="0" applyFont="1" applyBorder="1" applyAlignment="1">
      <alignment horizontal="left" vertical="center" wrapText="1"/>
    </xf>
    <xf numFmtId="0" fontId="6" fillId="0" borderId="0" xfId="0" applyFont="1"/>
    <xf numFmtId="0" fontId="4" fillId="0" borderId="20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5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/>
    </xf>
    <xf numFmtId="0" fontId="7" fillId="3" borderId="0" xfId="0" applyFont="1" applyFill="1" applyAlignment="1">
      <alignment horizontal="left" indent="1"/>
    </xf>
    <xf numFmtId="0" fontId="7" fillId="0" borderId="0" xfId="0" applyFont="1" applyAlignment="1">
      <alignment horizontal="center"/>
    </xf>
    <xf numFmtId="0" fontId="8" fillId="0" borderId="0" xfId="0" applyFont="1"/>
    <xf numFmtId="0" fontId="7" fillId="0" borderId="0" xfId="0" applyFont="1" applyAlignment="1">
      <alignment horizontal="center" vertical="top"/>
    </xf>
    <xf numFmtId="0" fontId="9" fillId="0" borderId="0" xfId="0" applyFont="1" applyAlignment="1">
      <alignment vertical="top"/>
    </xf>
    <xf numFmtId="0" fontId="7" fillId="2" borderId="5" xfId="0" applyFont="1" applyFill="1" applyBorder="1" applyAlignment="1">
      <alignment horizontal="center" vertical="top"/>
    </xf>
    <xf numFmtId="2" fontId="2" fillId="0" borderId="7" xfId="0" applyNumberFormat="1" applyFont="1" applyBorder="1" applyAlignment="1">
      <alignment horizontal="right"/>
    </xf>
    <xf numFmtId="2" fontId="2" fillId="0" borderId="8" xfId="1" applyNumberFormat="1" applyFont="1" applyBorder="1" applyAlignment="1">
      <alignment horizontal="right"/>
    </xf>
    <xf numFmtId="2" fontId="2" fillId="0" borderId="8" xfId="2" applyNumberFormat="1" applyFont="1" applyBorder="1" applyAlignment="1">
      <alignment horizontal="right"/>
    </xf>
    <xf numFmtId="2" fontId="2" fillId="0" borderId="8" xfId="0" applyNumberFormat="1" applyFont="1" applyBorder="1" applyAlignment="1">
      <alignment horizontal="right"/>
    </xf>
    <xf numFmtId="2" fontId="2" fillId="0" borderId="9" xfId="0" applyNumberFormat="1" applyFont="1" applyBorder="1" applyAlignment="1">
      <alignment horizontal="right"/>
    </xf>
    <xf numFmtId="2" fontId="2" fillId="0" borderId="11" xfId="0" applyNumberFormat="1" applyFont="1" applyBorder="1" applyAlignment="1">
      <alignment horizontal="right"/>
    </xf>
    <xf numFmtId="2" fontId="2" fillId="0" borderId="12" xfId="1" applyNumberFormat="1" applyFont="1" applyBorder="1" applyAlignment="1">
      <alignment horizontal="right"/>
    </xf>
    <xf numFmtId="2" fontId="2" fillId="0" borderId="12" xfId="2" applyNumberFormat="1" applyFont="1" applyBorder="1" applyAlignment="1">
      <alignment horizontal="right"/>
    </xf>
    <xf numFmtId="2" fontId="2" fillId="0" borderId="12" xfId="0" applyNumberFormat="1" applyFont="1" applyBorder="1" applyAlignment="1">
      <alignment horizontal="right"/>
    </xf>
    <xf numFmtId="2" fontId="2" fillId="0" borderId="36" xfId="0" applyNumberFormat="1" applyFont="1" applyBorder="1" applyAlignment="1">
      <alignment horizontal="right"/>
    </xf>
    <xf numFmtId="2" fontId="2" fillId="0" borderId="37" xfId="1" applyNumberFormat="1" applyFont="1" applyBorder="1" applyAlignment="1">
      <alignment horizontal="right"/>
    </xf>
    <xf numFmtId="2" fontId="2" fillId="0" borderId="37" xfId="2" applyNumberFormat="1" applyFont="1" applyBorder="1" applyAlignment="1">
      <alignment horizontal="right"/>
    </xf>
    <xf numFmtId="2" fontId="2" fillId="0" borderId="37" xfId="0" applyNumberFormat="1" applyFont="1" applyBorder="1" applyAlignment="1">
      <alignment horizontal="right"/>
    </xf>
    <xf numFmtId="2" fontId="2" fillId="0" borderId="38" xfId="0" applyNumberFormat="1" applyFont="1" applyBorder="1" applyAlignment="1">
      <alignment horizontal="right"/>
    </xf>
    <xf numFmtId="2" fontId="2" fillId="0" borderId="39" xfId="1" applyNumberFormat="1" applyFont="1" applyBorder="1" applyAlignment="1">
      <alignment horizontal="right"/>
    </xf>
    <xf numFmtId="2" fontId="2" fillId="0" borderId="39" xfId="2" applyNumberFormat="1" applyFont="1" applyBorder="1" applyAlignment="1">
      <alignment horizontal="right"/>
    </xf>
    <xf numFmtId="2" fontId="2" fillId="2" borderId="39" xfId="0" applyNumberFormat="1" applyFont="1" applyFill="1" applyBorder="1" applyAlignment="1">
      <alignment horizontal="right"/>
    </xf>
    <xf numFmtId="2" fontId="2" fillId="2" borderId="12" xfId="0" applyNumberFormat="1" applyFont="1" applyFill="1" applyBorder="1" applyAlignment="1">
      <alignment horizontal="right"/>
    </xf>
    <xf numFmtId="2" fontId="2" fillId="0" borderId="37" xfId="2" applyNumberFormat="1" applyFont="1" applyFill="1" applyBorder="1" applyAlignment="1">
      <alignment horizontal="right"/>
    </xf>
    <xf numFmtId="2" fontId="2" fillId="2" borderId="37" xfId="0" applyNumberFormat="1" applyFont="1" applyFill="1" applyBorder="1" applyAlignment="1">
      <alignment horizontal="right"/>
    </xf>
    <xf numFmtId="2" fontId="7" fillId="3" borderId="0" xfId="1" applyNumberFormat="1" applyFont="1" applyFill="1" applyAlignment="1">
      <alignment horizontal="right" indent="1"/>
    </xf>
    <xf numFmtId="2" fontId="7" fillId="3" borderId="0" xfId="0" applyNumberFormat="1" applyFont="1" applyFill="1" applyAlignment="1">
      <alignment horizontal="right" indent="1"/>
    </xf>
    <xf numFmtId="0" fontId="7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44" xfId="0" applyFont="1" applyBorder="1" applyAlignment="1">
      <alignment horizontal="left" vertical="top" readingOrder="1"/>
    </xf>
    <xf numFmtId="0" fontId="4" fillId="0" borderId="45" xfId="0" applyFont="1" applyBorder="1" applyAlignment="1">
      <alignment horizontal="right" textRotation="90" wrapText="1" readingOrder="1"/>
    </xf>
    <xf numFmtId="0" fontId="4" fillId="0" borderId="46" xfId="0" applyFont="1" applyBorder="1" applyAlignment="1">
      <alignment horizontal="right" textRotation="90" wrapText="1" readingOrder="1"/>
    </xf>
    <xf numFmtId="0" fontId="4" fillId="0" borderId="47" xfId="0" applyFont="1" applyBorder="1" applyAlignment="1">
      <alignment horizontal="right" textRotation="90" wrapText="1" readingOrder="1"/>
    </xf>
    <xf numFmtId="0" fontId="4" fillId="0" borderId="0" xfId="0" applyFont="1" applyAlignment="1">
      <alignment horizontal="right" textRotation="90" wrapText="1" readingOrder="1"/>
    </xf>
    <xf numFmtId="0" fontId="4" fillId="0" borderId="48" xfId="0" applyFont="1" applyBorder="1" applyAlignment="1">
      <alignment horizontal="right" textRotation="90" wrapText="1" readingOrder="1"/>
    </xf>
    <xf numFmtId="166" fontId="7" fillId="3" borderId="0" xfId="1" applyNumberFormat="1" applyFont="1" applyFill="1" applyAlignment="1">
      <alignment horizontal="right" indent="1"/>
    </xf>
    <xf numFmtId="166" fontId="2" fillId="0" borderId="16" xfId="0" applyNumberFormat="1" applyFont="1" applyBorder="1" applyAlignment="1">
      <alignment horizontal="right"/>
    </xf>
    <xf numFmtId="166" fontId="2" fillId="0" borderId="17" xfId="0" applyNumberFormat="1" applyFont="1" applyBorder="1" applyAlignment="1">
      <alignment horizontal="right"/>
    </xf>
    <xf numFmtId="166" fontId="2" fillId="0" borderId="9" xfId="0" applyNumberFormat="1" applyFont="1" applyBorder="1" applyAlignment="1">
      <alignment horizontal="right"/>
    </xf>
    <xf numFmtId="166" fontId="2" fillId="0" borderId="18" xfId="0" applyNumberFormat="1" applyFont="1" applyBorder="1" applyAlignment="1">
      <alignment horizontal="right"/>
    </xf>
    <xf numFmtId="166" fontId="2" fillId="0" borderId="21" xfId="0" applyNumberFormat="1" applyFont="1" applyBorder="1" applyAlignment="1">
      <alignment horizontal="right"/>
    </xf>
    <xf numFmtId="166" fontId="2" fillId="0" borderId="13" xfId="0" applyNumberFormat="1" applyFont="1" applyBorder="1" applyAlignment="1">
      <alignment horizontal="right"/>
    </xf>
    <xf numFmtId="166" fontId="2" fillId="0" borderId="24" xfId="0" applyNumberFormat="1" applyFont="1" applyBorder="1" applyAlignment="1">
      <alignment horizontal="right"/>
    </xf>
    <xf numFmtId="166" fontId="2" fillId="0" borderId="25" xfId="0" applyNumberFormat="1" applyFont="1" applyBorder="1" applyAlignment="1">
      <alignment horizontal="right"/>
    </xf>
    <xf numFmtId="166" fontId="2" fillId="0" borderId="26" xfId="0" applyNumberFormat="1" applyFont="1" applyBorder="1" applyAlignment="1">
      <alignment horizontal="right"/>
    </xf>
    <xf numFmtId="166" fontId="2" fillId="2" borderId="30" xfId="0" applyNumberFormat="1" applyFont="1" applyFill="1" applyBorder="1" applyAlignment="1">
      <alignment horizontal="right"/>
    </xf>
    <xf numFmtId="166" fontId="2" fillId="0" borderId="31" xfId="0" applyNumberFormat="1" applyFont="1" applyBorder="1" applyAlignment="1">
      <alignment horizontal="right"/>
    </xf>
    <xf numFmtId="166" fontId="2" fillId="0" borderId="32" xfId="0" applyNumberFormat="1" applyFont="1" applyBorder="1" applyAlignment="1">
      <alignment horizontal="right"/>
    </xf>
    <xf numFmtId="166" fontId="2" fillId="2" borderId="18" xfId="0" applyNumberFormat="1" applyFont="1" applyFill="1" applyBorder="1" applyAlignment="1">
      <alignment horizontal="right"/>
    </xf>
    <xf numFmtId="166" fontId="2" fillId="2" borderId="24" xfId="0" applyNumberFormat="1" applyFont="1" applyFill="1" applyBorder="1" applyAlignment="1">
      <alignment horizontal="right"/>
    </xf>
    <xf numFmtId="167" fontId="7" fillId="2" borderId="49" xfId="1" applyNumberFormat="1" applyFont="1" applyFill="1" applyBorder="1" applyAlignment="1">
      <alignment vertical="top"/>
    </xf>
    <xf numFmtId="167" fontId="2" fillId="0" borderId="33" xfId="1" applyNumberFormat="1" applyFont="1" applyBorder="1" applyAlignment="1">
      <alignment vertical="top" wrapText="1" readingOrder="1"/>
    </xf>
    <xf numFmtId="167" fontId="4" fillId="0" borderId="41" xfId="1" applyNumberFormat="1" applyFont="1" applyBorder="1" applyAlignment="1">
      <alignment vertical="center" wrapText="1"/>
    </xf>
    <xf numFmtId="167" fontId="4" fillId="0" borderId="42" xfId="1" applyNumberFormat="1" applyFont="1" applyBorder="1" applyAlignment="1">
      <alignment vertical="center" wrapText="1"/>
    </xf>
    <xf numFmtId="167" fontId="4" fillId="0" borderId="43" xfId="1" applyNumberFormat="1" applyFont="1" applyBorder="1" applyAlignment="1">
      <alignment vertical="center" wrapText="1"/>
    </xf>
    <xf numFmtId="167" fontId="4" fillId="0" borderId="30" xfId="1" applyNumberFormat="1" applyFont="1" applyBorder="1" applyAlignment="1">
      <alignment vertical="center" wrapText="1"/>
    </xf>
    <xf numFmtId="167" fontId="4" fillId="0" borderId="18" xfId="1" applyNumberFormat="1" applyFont="1" applyBorder="1" applyAlignment="1">
      <alignment vertical="center" wrapText="1"/>
    </xf>
    <xf numFmtId="167" fontId="4" fillId="0" borderId="24" xfId="1" applyNumberFormat="1" applyFont="1" applyBorder="1" applyAlignment="1">
      <alignment vertical="center" wrapText="1"/>
    </xf>
    <xf numFmtId="167" fontId="2" fillId="3" borderId="0" xfId="1" applyNumberFormat="1" applyFont="1" applyFill="1" applyAlignment="1"/>
    <xf numFmtId="167" fontId="2" fillId="0" borderId="0" xfId="1" applyNumberFormat="1" applyFont="1" applyAlignment="1"/>
    <xf numFmtId="0" fontId="2" fillId="2" borderId="14" xfId="0" applyFont="1" applyFill="1" applyBorder="1" applyAlignment="1">
      <alignment horizontal="center" vertical="center" textRotation="90"/>
    </xf>
    <xf numFmtId="0" fontId="2" fillId="2" borderId="19" xfId="0" applyFont="1" applyFill="1" applyBorder="1" applyAlignment="1">
      <alignment horizontal="center" vertical="center" textRotation="90"/>
    </xf>
    <xf numFmtId="0" fontId="2" fillId="2" borderId="22" xfId="0" applyFont="1" applyFill="1" applyBorder="1" applyAlignment="1">
      <alignment horizontal="center" vertical="center" textRotation="90"/>
    </xf>
    <xf numFmtId="0" fontId="2" fillId="2" borderId="28" xfId="0" applyFont="1" applyFill="1" applyBorder="1" applyAlignment="1">
      <alignment horizontal="center" vertical="center" textRotation="90"/>
    </xf>
    <xf numFmtId="0" fontId="2" fillId="2" borderId="33" xfId="0" applyFont="1" applyFill="1" applyBorder="1" applyAlignment="1">
      <alignment horizontal="center" vertical="center" textRotation="90"/>
    </xf>
    <xf numFmtId="0" fontId="2" fillId="2" borderId="34" xfId="0" applyFont="1" applyFill="1" applyBorder="1" applyAlignment="1">
      <alignment horizontal="center" vertical="center" textRotation="90"/>
    </xf>
    <xf numFmtId="0" fontId="7" fillId="2" borderId="1" xfId="0" applyFont="1" applyFill="1" applyBorder="1" applyAlignment="1">
      <alignment horizontal="center"/>
    </xf>
    <xf numFmtId="0" fontId="7" fillId="2" borderId="40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top"/>
    </xf>
    <xf numFmtId="0" fontId="7" fillId="2" borderId="50" xfId="0" applyFont="1" applyFill="1" applyBorder="1" applyAlignment="1">
      <alignment horizontal="center" vertical="top"/>
    </xf>
    <xf numFmtId="0" fontId="7" fillId="2" borderId="4" xfId="0" applyFont="1" applyFill="1" applyBorder="1" applyAlignment="1">
      <alignment horizontal="center" vertical="top"/>
    </xf>
    <xf numFmtId="0" fontId="7" fillId="2" borderId="6" xfId="0" applyFont="1" applyFill="1" applyBorder="1" applyAlignment="1">
      <alignment horizontal="center" vertical="top" wrapText="1"/>
    </xf>
    <xf numFmtId="0" fontId="7" fillId="2" borderId="10" xfId="0" applyFont="1" applyFill="1" applyBorder="1" applyAlignment="1">
      <alignment horizontal="center" vertical="top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giar-my.sharepoint.com/personal/s_lewis_cgiar_org/Documents/TAAT/R4D/KPIS/KPI%20data%20for%20IITA%20for%20AI%20upload.xlsx" TargetMode="External"/><Relationship Id="rId1" Type="http://schemas.openxmlformats.org/officeDocument/2006/relationships/externalLinkPath" Target="https://cgiar-my.sharepoint.com/personal/s_lewis_cgiar_org/Documents/TAAT/R4D/KPIS/KPI%20data%20for%20IITA%20for%20AI%20upl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Sheet1"/>
    </sheetNames>
    <sheetDataSet>
      <sheetData sheetId="0"/>
      <sheetData sheetId="1">
        <row r="12">
          <cell r="I12">
            <v>1.4999999999999999E-2</v>
          </cell>
        </row>
        <row r="18">
          <cell r="U18">
            <v>0.14285714285714285</v>
          </cell>
          <cell r="AA18">
            <v>0.2</v>
          </cell>
          <cell r="AC18">
            <v>0.25</v>
          </cell>
          <cell r="AS18">
            <v>0.1</v>
          </cell>
        </row>
        <row r="21">
          <cell r="W21">
            <v>8.6956521739130432E-2</v>
          </cell>
          <cell r="AA21">
            <v>0.2</v>
          </cell>
          <cell r="AC21">
            <v>8.3333333333333329E-2</v>
          </cell>
          <cell r="AE21">
            <v>0.2</v>
          </cell>
          <cell r="AG21">
            <v>0.5714285714285714</v>
          </cell>
          <cell r="AS21">
            <v>0.1</v>
          </cell>
        </row>
        <row r="22">
          <cell r="W22">
            <v>4.3478260869565216E-2</v>
          </cell>
          <cell r="AA22">
            <v>0.13333333333333333</v>
          </cell>
          <cell r="AC22">
            <v>8.3333333333333329E-2</v>
          </cell>
          <cell r="AE22">
            <v>0.2</v>
          </cell>
          <cell r="AG22">
            <v>0.7142857142857143</v>
          </cell>
        </row>
        <row r="23">
          <cell r="W23">
            <v>8.6956521739130432E-2</v>
          </cell>
          <cell r="AA23">
            <v>6.6666666666666666E-2</v>
          </cell>
          <cell r="AE23">
            <v>0.05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4F6B4-64C6-41A0-9F63-399977D02850}">
  <sheetPr>
    <tabColor rgb="FFFFFF00"/>
    <pageSetUpPr fitToPage="1"/>
  </sheetPr>
  <dimension ref="B1:X23"/>
  <sheetViews>
    <sheetView tabSelected="1" zoomScale="115" zoomScaleNormal="115" zoomScaleSheetLayoutView="75" workbookViewId="0">
      <pane ySplit="3" topLeftCell="A4" activePane="bottomLeft" state="frozen"/>
      <selection activeCell="B1" sqref="B1:O20"/>
      <selection pane="bottomLeft" activeCell="I10" sqref="I10"/>
    </sheetView>
  </sheetViews>
  <sheetFormatPr defaultRowHeight="14.4" x14ac:dyDescent="0.3"/>
  <cols>
    <col min="2" max="2" width="3.21875" style="1" customWidth="1"/>
    <col min="3" max="3" width="41.88671875" style="1" customWidth="1"/>
    <col min="4" max="4" width="6.21875" style="75" customWidth="1"/>
    <col min="5" max="11" width="8.5546875" style="42" customWidth="1"/>
    <col min="12" max="12" width="8.5546875" style="43" customWidth="1"/>
  </cols>
  <sheetData>
    <row r="1" spans="2:12" s="15" customFormat="1" ht="15" thickBot="1" x14ac:dyDescent="0.35">
      <c r="B1" s="14"/>
      <c r="C1" s="82" t="s">
        <v>0</v>
      </c>
      <c r="D1" s="83"/>
      <c r="E1" s="84"/>
      <c r="F1" s="84"/>
      <c r="G1" s="84"/>
      <c r="H1" s="84"/>
      <c r="I1" s="84"/>
      <c r="J1" s="85"/>
      <c r="K1" s="85"/>
      <c r="L1" s="86"/>
    </row>
    <row r="2" spans="2:12" s="17" customFormat="1" ht="25.95" customHeight="1" thickBot="1" x14ac:dyDescent="0.35">
      <c r="B2" s="16"/>
      <c r="C2" s="18"/>
      <c r="D2" s="66"/>
      <c r="E2" s="87" t="s">
        <v>1</v>
      </c>
      <c r="F2" s="88"/>
      <c r="G2" s="88"/>
      <c r="H2" s="88"/>
      <c r="I2" s="89"/>
      <c r="J2" s="90" t="s">
        <v>2</v>
      </c>
      <c r="K2" s="90"/>
      <c r="L2" s="91"/>
    </row>
    <row r="3" spans="2:12" s="4" customFormat="1" ht="132" customHeight="1" thickBot="1" x14ac:dyDescent="0.3">
      <c r="B3" s="3"/>
      <c r="C3" s="45"/>
      <c r="D3" s="67" t="s">
        <v>21</v>
      </c>
      <c r="E3" s="46" t="s">
        <v>13</v>
      </c>
      <c r="F3" s="47" t="s">
        <v>14</v>
      </c>
      <c r="G3" s="47" t="s">
        <v>15</v>
      </c>
      <c r="H3" s="47" t="s">
        <v>16</v>
      </c>
      <c r="I3" s="48" t="s">
        <v>17</v>
      </c>
      <c r="J3" s="49" t="s">
        <v>18</v>
      </c>
      <c r="K3" s="50" t="s">
        <v>19</v>
      </c>
      <c r="L3" s="48" t="s">
        <v>20</v>
      </c>
    </row>
    <row r="4" spans="2:12" s="6" customFormat="1" ht="15.6" customHeight="1" thickBot="1" x14ac:dyDescent="0.3">
      <c r="B4" s="76" t="s">
        <v>3</v>
      </c>
      <c r="C4" s="5" t="s">
        <v>4</v>
      </c>
      <c r="D4" s="68">
        <v>7</v>
      </c>
      <c r="E4" s="19">
        <v>2.4285714285714284</v>
      </c>
      <c r="F4" s="20" t="s">
        <v>5</v>
      </c>
      <c r="G4" s="21">
        <f>[1]Sheet1!$U$18</f>
        <v>0.14285714285714285</v>
      </c>
      <c r="H4" s="22">
        <v>0</v>
      </c>
      <c r="I4" s="23" t="s">
        <v>5</v>
      </c>
      <c r="J4" s="52">
        <v>0</v>
      </c>
      <c r="K4" s="53">
        <v>0</v>
      </c>
      <c r="L4" s="54">
        <v>0</v>
      </c>
    </row>
    <row r="5" spans="2:12" s="6" customFormat="1" ht="15.6" customHeight="1" thickBot="1" x14ac:dyDescent="0.3">
      <c r="B5" s="77"/>
      <c r="C5" s="7" t="s">
        <v>6</v>
      </c>
      <c r="D5" s="69">
        <v>23</v>
      </c>
      <c r="E5" s="24">
        <v>1</v>
      </c>
      <c r="F5" s="25" t="s">
        <v>5</v>
      </c>
      <c r="G5" s="26">
        <v>0</v>
      </c>
      <c r="H5" s="27">
        <v>0.13043478260869565</v>
      </c>
      <c r="I5" s="23" t="s">
        <v>5</v>
      </c>
      <c r="J5" s="55">
        <f>[1]Sheet1!$W$21</f>
        <v>8.6956521739130432E-2</v>
      </c>
      <c r="K5" s="56">
        <f>[1]Sheet1!$W$22</f>
        <v>4.3478260869565216E-2</v>
      </c>
      <c r="L5" s="57">
        <f>[1]Sheet1!$W$23</f>
        <v>8.6956521739130432E-2</v>
      </c>
    </row>
    <row r="6" spans="2:12" s="6" customFormat="1" ht="15.6" customHeight="1" thickBot="1" x14ac:dyDescent="0.3">
      <c r="B6" s="77"/>
      <c r="C6" s="7" t="s">
        <v>7</v>
      </c>
      <c r="D6" s="69">
        <v>4</v>
      </c>
      <c r="E6" s="24">
        <v>4.75</v>
      </c>
      <c r="F6" s="25" t="s">
        <v>5</v>
      </c>
      <c r="G6" s="26">
        <v>0</v>
      </c>
      <c r="H6" s="27">
        <v>0.25</v>
      </c>
      <c r="I6" s="23" t="s">
        <v>5</v>
      </c>
      <c r="J6" s="55">
        <v>0</v>
      </c>
      <c r="K6" s="56">
        <v>0</v>
      </c>
      <c r="L6" s="57">
        <v>0</v>
      </c>
    </row>
    <row r="7" spans="2:12" s="6" customFormat="1" ht="15.6" customHeight="1" thickBot="1" x14ac:dyDescent="0.3">
      <c r="B7" s="78"/>
      <c r="C7" s="8" t="s">
        <v>8</v>
      </c>
      <c r="D7" s="70">
        <v>15</v>
      </c>
      <c r="E7" s="28">
        <v>0</v>
      </c>
      <c r="F7" s="29">
        <v>0.93333333333333335</v>
      </c>
      <c r="G7" s="30">
        <f>[1]Sheet1!$AA$18</f>
        <v>0.2</v>
      </c>
      <c r="H7" s="31">
        <v>0</v>
      </c>
      <c r="I7" s="23" t="s">
        <v>5</v>
      </c>
      <c r="J7" s="58">
        <f>[1]Sheet1!$AA$21</f>
        <v>0.2</v>
      </c>
      <c r="K7" s="59">
        <f>[1]Sheet1!$AA$22</f>
        <v>0.13333333333333333</v>
      </c>
      <c r="L7" s="60">
        <f>[1]Sheet1!$AA$23</f>
        <v>6.6666666666666666E-2</v>
      </c>
    </row>
    <row r="8" spans="2:12" s="6" customFormat="1" ht="15.6" customHeight="1" thickBot="1" x14ac:dyDescent="0.3">
      <c r="B8" s="76" t="s">
        <v>28</v>
      </c>
      <c r="C8" s="5" t="s">
        <v>9</v>
      </c>
      <c r="D8" s="68">
        <v>12</v>
      </c>
      <c r="E8" s="19">
        <v>1.5</v>
      </c>
      <c r="F8" s="20">
        <v>8.3333333333333329E-2</v>
      </c>
      <c r="G8" s="21">
        <f>[1]Sheet1!$AC$18</f>
        <v>0.25</v>
      </c>
      <c r="H8" s="22">
        <v>0.41666666666666669</v>
      </c>
      <c r="I8" s="23" t="s">
        <v>5</v>
      </c>
      <c r="J8" s="52">
        <f>[1]Sheet1!$AC$21</f>
        <v>8.3333333333333329E-2</v>
      </c>
      <c r="K8" s="53">
        <f>[1]Sheet1!$AC$22</f>
        <v>8.3333333333333329E-2</v>
      </c>
      <c r="L8" s="54">
        <v>0</v>
      </c>
    </row>
    <row r="9" spans="2:12" s="6" customFormat="1" ht="15.6" customHeight="1" thickBot="1" x14ac:dyDescent="0.3">
      <c r="B9" s="77"/>
      <c r="C9" s="7" t="s">
        <v>10</v>
      </c>
      <c r="D9" s="69">
        <v>20</v>
      </c>
      <c r="E9" s="24">
        <v>2.15</v>
      </c>
      <c r="F9" s="25">
        <v>0.85</v>
      </c>
      <c r="G9" s="26">
        <v>0</v>
      </c>
      <c r="H9" s="27">
        <v>0.15</v>
      </c>
      <c r="I9" s="23" t="s">
        <v>5</v>
      </c>
      <c r="J9" s="55">
        <f>[1]Sheet1!$AE$21</f>
        <v>0.2</v>
      </c>
      <c r="K9" s="56">
        <f>[1]Sheet1!$AE$22</f>
        <v>0.2</v>
      </c>
      <c r="L9" s="57">
        <f>[1]Sheet1!$AE$23</f>
        <v>0.05</v>
      </c>
    </row>
    <row r="10" spans="2:12" s="6" customFormat="1" ht="15.6" customHeight="1" thickBot="1" x14ac:dyDescent="0.3">
      <c r="B10" s="77"/>
      <c r="C10" s="7" t="s">
        <v>22</v>
      </c>
      <c r="D10" s="69">
        <v>7</v>
      </c>
      <c r="E10" s="24">
        <v>0</v>
      </c>
      <c r="F10" s="25">
        <v>0.42857142857142855</v>
      </c>
      <c r="G10" s="26">
        <v>0</v>
      </c>
      <c r="H10" s="27">
        <v>0</v>
      </c>
      <c r="I10" s="23" t="s">
        <v>5</v>
      </c>
      <c r="J10" s="55">
        <f>[1]Sheet1!$AG$21</f>
        <v>0.5714285714285714</v>
      </c>
      <c r="K10" s="56">
        <f>[1]Sheet1!$AG$22</f>
        <v>0.7142857142857143</v>
      </c>
      <c r="L10" s="57">
        <v>0</v>
      </c>
    </row>
    <row r="11" spans="2:12" s="6" customFormat="1" ht="15.6" customHeight="1" thickBot="1" x14ac:dyDescent="0.3">
      <c r="B11" s="78"/>
      <c r="C11" s="8" t="s">
        <v>11</v>
      </c>
      <c r="D11" s="70">
        <v>4</v>
      </c>
      <c r="E11" s="28">
        <v>0</v>
      </c>
      <c r="F11" s="29">
        <v>0</v>
      </c>
      <c r="G11" s="30">
        <v>0</v>
      </c>
      <c r="H11" s="31">
        <v>0</v>
      </c>
      <c r="I11" s="23" t="s">
        <v>5</v>
      </c>
      <c r="J11" s="58">
        <v>0</v>
      </c>
      <c r="K11" s="59">
        <v>0</v>
      </c>
      <c r="L11" s="60">
        <v>0</v>
      </c>
    </row>
    <row r="12" spans="2:12" s="6" customFormat="1" ht="15.6" customHeight="1" thickBot="1" x14ac:dyDescent="0.3">
      <c r="B12" s="79" t="s">
        <v>29</v>
      </c>
      <c r="C12" s="10" t="s">
        <v>23</v>
      </c>
      <c r="D12" s="71">
        <v>11</v>
      </c>
      <c r="E12" s="32">
        <v>0.63636363636363635</v>
      </c>
      <c r="F12" s="33">
        <v>0</v>
      </c>
      <c r="G12" s="34">
        <v>0</v>
      </c>
      <c r="H12" s="35">
        <v>0</v>
      </c>
      <c r="I12" s="23" t="s">
        <v>5</v>
      </c>
      <c r="J12" s="61">
        <v>0</v>
      </c>
      <c r="K12" s="62">
        <v>0</v>
      </c>
      <c r="L12" s="63">
        <v>0</v>
      </c>
    </row>
    <row r="13" spans="2:12" s="6" customFormat="1" ht="15.6" customHeight="1" thickBot="1" x14ac:dyDescent="0.3">
      <c r="B13" s="80"/>
      <c r="C13" s="9" t="s">
        <v>24</v>
      </c>
      <c r="D13" s="72">
        <v>11</v>
      </c>
      <c r="E13" s="24">
        <v>0</v>
      </c>
      <c r="F13" s="25">
        <v>0</v>
      </c>
      <c r="G13" s="26">
        <v>0</v>
      </c>
      <c r="H13" s="36">
        <v>0.27272727272727271</v>
      </c>
      <c r="I13" s="23" t="s">
        <v>5</v>
      </c>
      <c r="J13" s="64">
        <v>0</v>
      </c>
      <c r="K13" s="56">
        <v>0</v>
      </c>
      <c r="L13" s="57">
        <v>0</v>
      </c>
    </row>
    <row r="14" spans="2:12" s="6" customFormat="1" ht="15.6" customHeight="1" thickBot="1" x14ac:dyDescent="0.3">
      <c r="B14" s="80"/>
      <c r="C14" s="9" t="s">
        <v>25</v>
      </c>
      <c r="D14" s="72">
        <v>5</v>
      </c>
      <c r="E14" s="24">
        <v>1.2</v>
      </c>
      <c r="F14" s="25">
        <v>0.6</v>
      </c>
      <c r="G14" s="26">
        <v>0</v>
      </c>
      <c r="H14" s="36">
        <v>0.6</v>
      </c>
      <c r="I14" s="23" t="s">
        <v>5</v>
      </c>
      <c r="J14" s="64">
        <v>0</v>
      </c>
      <c r="K14" s="56">
        <v>0</v>
      </c>
      <c r="L14" s="57">
        <v>0</v>
      </c>
    </row>
    <row r="15" spans="2:12" s="6" customFormat="1" ht="15.6" customHeight="1" thickBot="1" x14ac:dyDescent="0.3">
      <c r="B15" s="80"/>
      <c r="C15" s="9" t="s">
        <v>26</v>
      </c>
      <c r="D15" s="72">
        <v>4</v>
      </c>
      <c r="E15" s="24">
        <v>1.75</v>
      </c>
      <c r="F15" s="25">
        <v>0</v>
      </c>
      <c r="G15" s="26">
        <v>0</v>
      </c>
      <c r="H15" s="36">
        <v>0</v>
      </c>
      <c r="I15" s="23" t="s">
        <v>5</v>
      </c>
      <c r="J15" s="64">
        <v>0</v>
      </c>
      <c r="K15" s="56">
        <v>0</v>
      </c>
      <c r="L15" s="57">
        <v>0</v>
      </c>
    </row>
    <row r="16" spans="2:12" s="6" customFormat="1" ht="15.45" customHeight="1" thickBot="1" x14ac:dyDescent="0.3">
      <c r="B16" s="81"/>
      <c r="C16" s="11" t="s">
        <v>27</v>
      </c>
      <c r="D16" s="73">
        <v>10</v>
      </c>
      <c r="E16" s="28">
        <v>0</v>
      </c>
      <c r="F16" s="29">
        <v>0</v>
      </c>
      <c r="G16" s="37">
        <f>[1]Sheet1!$AS$18</f>
        <v>0.1</v>
      </c>
      <c r="H16" s="38">
        <v>0</v>
      </c>
      <c r="I16" s="23" t="s">
        <v>5</v>
      </c>
      <c r="J16" s="65">
        <f>[1]Sheet1!$AS$21</f>
        <v>0.1</v>
      </c>
      <c r="K16" s="59">
        <v>0</v>
      </c>
      <c r="L16" s="60">
        <v>0</v>
      </c>
    </row>
    <row r="17" spans="2:24" x14ac:dyDescent="0.3">
      <c r="B17" s="12"/>
      <c r="C17" s="13" t="s">
        <v>12</v>
      </c>
      <c r="D17" s="74">
        <v>133</v>
      </c>
      <c r="E17" s="39">
        <v>0.22556390977443608</v>
      </c>
      <c r="F17" s="39">
        <v>0.18796992481203006</v>
      </c>
      <c r="G17" s="39">
        <v>0.22556390977443608</v>
      </c>
      <c r="H17" s="39">
        <v>0.22556390977443608</v>
      </c>
      <c r="I17" s="40" t="s">
        <v>5</v>
      </c>
      <c r="J17" s="51">
        <v>1.8796992481203006E-3</v>
      </c>
      <c r="K17" s="51">
        <v>1.8796992481203006E-3</v>
      </c>
      <c r="L17" s="51">
        <v>1.8796992481203006E-3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9" spans="2:24" hidden="1" x14ac:dyDescent="0.3">
      <c r="E19" s="41"/>
    </row>
    <row r="20" spans="2:24" hidden="1" x14ac:dyDescent="0.3"/>
    <row r="21" spans="2:24" hidden="1" x14ac:dyDescent="0.3">
      <c r="E21" s="44"/>
    </row>
    <row r="22" spans="2:24" hidden="1" x14ac:dyDescent="0.3"/>
    <row r="23" spans="2:24" hidden="1" x14ac:dyDescent="0.3"/>
  </sheetData>
  <mergeCells count="6">
    <mergeCell ref="B4:B7"/>
    <mergeCell ref="B8:B11"/>
    <mergeCell ref="B12:B16"/>
    <mergeCell ref="C1:L1"/>
    <mergeCell ref="E2:I2"/>
    <mergeCell ref="J2:L2"/>
  </mergeCells>
  <conditionalFormatting sqref="E4:E16">
    <cfRule type="colorScale" priority="38">
      <colorScale>
        <cfvo type="min"/>
        <cfvo type="formula" val="$E$17/2"/>
        <cfvo type="formula" val="$E$17"/>
        <color rgb="FFFF0000"/>
        <color rgb="FFFFFF00"/>
        <color rgb="FF00B050"/>
      </colorScale>
    </cfRule>
  </conditionalFormatting>
  <conditionalFormatting sqref="F4:F16">
    <cfRule type="colorScale" priority="39">
      <colorScale>
        <cfvo type="min"/>
        <cfvo type="formula" val="$F$17/2"/>
        <cfvo type="formula" val="$F$17"/>
        <color rgb="FFFF0000"/>
        <color rgb="FFFFFF00"/>
        <color rgb="FF00B050"/>
      </colorScale>
    </cfRule>
  </conditionalFormatting>
  <conditionalFormatting sqref="G4:G16">
    <cfRule type="colorScale" priority="40">
      <colorScale>
        <cfvo type="min"/>
        <cfvo type="formula" val="$G$17/2"/>
        <cfvo type="formula" val="$G$17"/>
        <color rgb="FFFF0000"/>
        <color rgb="FFFFFF00"/>
        <color rgb="FF00B050"/>
      </colorScale>
    </cfRule>
  </conditionalFormatting>
  <conditionalFormatting sqref="H4:H16">
    <cfRule type="colorScale" priority="41">
      <colorScale>
        <cfvo type="min"/>
        <cfvo type="formula" val="$H$17/2"/>
        <cfvo type="formula" val="$H$17"/>
        <color rgb="FFFF0000"/>
        <color rgb="FFFFFF00"/>
        <color rgb="FF00B050"/>
      </colorScale>
    </cfRule>
  </conditionalFormatting>
  <conditionalFormatting sqref="J4:J16">
    <cfRule type="colorScale" priority="42">
      <colorScale>
        <cfvo type="min"/>
        <cfvo type="formula" val="$J$17/2"/>
        <cfvo type="formula" val="$J$17"/>
        <color rgb="FFFF0000"/>
        <color rgb="FFFFFF00"/>
        <color rgb="FF00B050"/>
      </colorScale>
    </cfRule>
  </conditionalFormatting>
  <conditionalFormatting sqref="K4:K16">
    <cfRule type="colorScale" priority="43">
      <colorScale>
        <cfvo type="min"/>
        <cfvo type="formula" val="$K$17/2"/>
        <cfvo type="formula" val="$K$17"/>
        <color rgb="FFFF0000"/>
        <color rgb="FFFFFF00"/>
        <color rgb="FF00B050"/>
      </colorScale>
    </cfRule>
  </conditionalFormatting>
  <conditionalFormatting sqref="L4:L16">
    <cfRule type="colorScale" priority="44">
      <colorScale>
        <cfvo type="min"/>
        <cfvo type="formula" val="$L$17/2"/>
        <cfvo type="formula" val="$L$17"/>
        <color rgb="FFFF0000"/>
        <color rgb="FFFFFF00"/>
        <color rgb="FF00B050"/>
      </colorScale>
    </cfRule>
  </conditionalFormatting>
  <pageMargins left="0.7" right="0.7" top="0.75" bottom="0.75" header="0.3" footer="0.3"/>
  <pageSetup paperSize="8" scale="88" orientation="landscape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Reputation, Society</vt:lpstr>
      <vt:lpstr>'Reputation, Society'!Print_Area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Sabra (IITA)</dc:creator>
  <cp:lastModifiedBy>Devari, Aalakh (SI EA R&amp;D AU SDA)</cp:lastModifiedBy>
  <dcterms:created xsi:type="dcterms:W3CDTF">2026-04-08T13:57:25Z</dcterms:created>
  <dcterms:modified xsi:type="dcterms:W3CDTF">2026-04-13T18:12:31Z</dcterms:modified>
</cp:coreProperties>
</file>