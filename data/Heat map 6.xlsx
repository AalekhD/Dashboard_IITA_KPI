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Reputation, Society" sheetId="1" state="visible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(* #,##0.000_);_(* \(#,##0.000\);_(* &quot;-&quot;??_);_(@_)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9"/>
    </font>
    <font>
      <name val="Calibri"/>
      <family val="2"/>
      <b val="1"/>
      <color rgb="FF0070C0"/>
      <sz val="9"/>
    </font>
    <font>
      <name val="Calibri"/>
      <family val="2"/>
      <b val="1"/>
      <color rgb="FF00B0F0"/>
      <sz val="9"/>
    </font>
    <font>
      <name val="Calibri"/>
      <family val="2"/>
      <color theme="1"/>
      <sz val="10"/>
    </font>
    <font>
      <name val="Calibri"/>
      <family val="2"/>
      <color rgb="FFFF0000"/>
      <sz val="9"/>
    </font>
    <font>
      <name val="Calibri"/>
      <family val="2"/>
      <color rgb="FF000000"/>
      <sz val="9"/>
    </font>
    <font>
      <name val="Aptos Narrow"/>
      <family val="2"/>
      <color theme="1"/>
      <sz val="8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color rgb="FF0070C0"/>
      <sz val="11"/>
      <scheme val="minor"/>
    </font>
    <font>
      <name val="Calibri"/>
      <family val="2"/>
      <b val="1"/>
      <color theme="1"/>
      <sz val="9"/>
    </font>
  </fonts>
  <fills count="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B05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92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164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horizontal="center" vertical="top"/>
    </xf>
    <xf numFmtId="0" fontId="4" fillId="2" borderId="5" applyAlignment="1" pivotButton="0" quotePrefix="0" xfId="0">
      <alignment horizontal="center" vertical="top"/>
    </xf>
    <xf numFmtId="164" fontId="2" fillId="0" borderId="0" applyAlignment="1" pivotButton="0" quotePrefix="0" xfId="0">
      <alignment vertical="top"/>
    </xf>
    <xf numFmtId="164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 readingOrder="1"/>
    </xf>
    <xf numFmtId="0" fontId="2" fillId="0" borderId="5" applyAlignment="1" pivotButton="0" quotePrefix="0" xfId="0">
      <alignment horizontal="left" vertical="top" readingOrder="1"/>
    </xf>
    <xf numFmtId="0" fontId="7" fillId="0" borderId="11" applyAlignment="1" pivotButton="0" quotePrefix="0" xfId="0">
      <alignment horizontal="center" textRotation="90" wrapText="1" readingOrder="1"/>
    </xf>
    <xf numFmtId="0" fontId="7" fillId="0" borderId="12" applyAlignment="1" pivotButton="0" quotePrefix="0" xfId="0">
      <alignment horizontal="center" textRotation="90" wrapText="1" readingOrder="1"/>
    </xf>
    <xf numFmtId="0" fontId="7" fillId="0" borderId="13" applyAlignment="1" pivotButton="0" quotePrefix="0" xfId="0">
      <alignment horizontal="center" textRotation="90" wrapText="1" readingOrder="1"/>
    </xf>
    <xf numFmtId="0" fontId="7" fillId="0" borderId="6" applyAlignment="1" pivotButton="0" quotePrefix="0" xfId="0">
      <alignment horizontal="left" textRotation="90" wrapText="1" readingOrder="1"/>
    </xf>
    <xf numFmtId="0" fontId="7" fillId="0" borderId="3" applyAlignment="1" pivotButton="0" quotePrefix="0" xfId="0">
      <alignment horizontal="left" textRotation="90" wrapText="1" readingOrder="1"/>
    </xf>
    <xf numFmtId="0" fontId="7" fillId="0" borderId="4" applyAlignment="1" pivotButton="0" quotePrefix="0" xfId="0">
      <alignment horizontal="left" textRotation="90" wrapText="1" readingOrder="1"/>
    </xf>
    <xf numFmtId="164" fontId="8" fillId="0" borderId="0" pivotButton="0" quotePrefix="0" xfId="0"/>
    <xf numFmtId="0" fontId="8" fillId="0" borderId="0" pivotButton="0" quotePrefix="0" xfId="0"/>
    <xf numFmtId="0" fontId="7" fillId="0" borderId="15" applyAlignment="1" pivotButton="0" quotePrefix="0" xfId="0">
      <alignment horizontal="left" vertical="center" wrapText="1"/>
    </xf>
    <xf numFmtId="2" fontId="2" fillId="0" borderId="11" applyAlignment="1" pivotButton="0" quotePrefix="0" xfId="0">
      <alignment horizontal="center"/>
    </xf>
    <xf numFmtId="2" fontId="2" fillId="0" borderId="12" applyAlignment="1" pivotButton="0" quotePrefix="0" xfId="1">
      <alignment horizontal="center"/>
    </xf>
    <xf numFmtId="2" fontId="2" fillId="0" borderId="12" applyAlignment="1" pivotButton="0" quotePrefix="0" xfId="2">
      <alignment horizontal="center"/>
    </xf>
    <xf numFmtId="2" fontId="2" fillId="0" borderId="12" applyAlignment="1" pivotButton="0" quotePrefix="0" xfId="0">
      <alignment horizontal="center"/>
    </xf>
    <xf numFmtId="2" fontId="2" fillId="0" borderId="13" applyAlignment="1" pivotButton="0" quotePrefix="0" xfId="0">
      <alignment horizontal="center"/>
    </xf>
    <xf numFmtId="2" fontId="2" fillId="0" borderId="16" applyAlignment="1" pivotButton="0" quotePrefix="0" xfId="0">
      <alignment horizontal="center"/>
    </xf>
    <xf numFmtId="2" fontId="2" fillId="0" borderId="17" applyAlignment="1" pivotButton="0" quotePrefix="0" xfId="0">
      <alignment horizontal="center"/>
    </xf>
    <xf numFmtId="2" fontId="2" fillId="0" borderId="9" applyAlignment="1" pivotButton="0" quotePrefix="0" xfId="0">
      <alignment horizontal="center"/>
    </xf>
    <xf numFmtId="164" fontId="9" fillId="0" borderId="0" pivotButton="0" quotePrefix="0" xfId="0"/>
    <xf numFmtId="0" fontId="9" fillId="0" borderId="0" pivotButton="0" quotePrefix="0" xfId="0"/>
    <xf numFmtId="0" fontId="7" fillId="0" borderId="20" applyAlignment="1" pivotButton="0" quotePrefix="0" xfId="0">
      <alignment horizontal="left" vertical="center" wrapText="1"/>
    </xf>
    <xf numFmtId="2" fontId="2" fillId="0" borderId="18" applyAlignment="1" pivotButton="0" quotePrefix="0" xfId="0">
      <alignment horizontal="center"/>
    </xf>
    <xf numFmtId="2" fontId="2" fillId="0" borderId="21" applyAlignment="1" pivotButton="0" quotePrefix="0" xfId="0">
      <alignment horizontal="center"/>
    </xf>
    <xf numFmtId="0" fontId="7" fillId="0" borderId="23" applyAlignment="1" pivotButton="0" quotePrefix="0" xfId="0">
      <alignment horizontal="left" vertical="center" wrapText="1"/>
    </xf>
    <xf numFmtId="2" fontId="2" fillId="0" borderId="24" applyAlignment="1" pivotButton="0" quotePrefix="0" xfId="0">
      <alignment horizontal="center"/>
    </xf>
    <xf numFmtId="2" fontId="2" fillId="0" borderId="25" applyAlignment="1" pivotButton="0" quotePrefix="0" xfId="0">
      <alignment horizontal="center"/>
    </xf>
    <xf numFmtId="2" fontId="2" fillId="0" borderId="26" applyAlignment="1" pivotButton="0" quotePrefix="0" xfId="0">
      <alignment horizontal="center"/>
    </xf>
    <xf numFmtId="0" fontId="7" fillId="0" borderId="27" applyAlignment="1" pivotButton="0" quotePrefix="0" xfId="0">
      <alignment horizontal="left" vertical="center" wrapText="1"/>
    </xf>
    <xf numFmtId="0" fontId="7" fillId="0" borderId="29" applyAlignment="1" pivotButton="0" quotePrefix="0" xfId="0">
      <alignment horizontal="left" vertical="center" wrapText="1"/>
    </xf>
    <xf numFmtId="2" fontId="2" fillId="2" borderId="12" applyAlignment="1" pivotButton="0" quotePrefix="0" xfId="0">
      <alignment horizontal="center"/>
    </xf>
    <xf numFmtId="2" fontId="2" fillId="2" borderId="30" applyAlignment="1" pivotButton="0" quotePrefix="0" xfId="0">
      <alignment horizontal="center"/>
    </xf>
    <xf numFmtId="2" fontId="2" fillId="0" borderId="31" applyAlignment="1" pivotButton="0" quotePrefix="0" xfId="0">
      <alignment horizontal="center"/>
    </xf>
    <xf numFmtId="2" fontId="2" fillId="0" borderId="32" applyAlignment="1" pivotButton="0" quotePrefix="0" xfId="0">
      <alignment horizontal="center"/>
    </xf>
    <xf numFmtId="2" fontId="2" fillId="2" borderId="18" applyAlignment="1" pivotButton="0" quotePrefix="0" xfId="0">
      <alignment horizontal="center"/>
    </xf>
    <xf numFmtId="0" fontId="7" fillId="0" borderId="35" applyAlignment="1" pivotButton="0" quotePrefix="0" xfId="0">
      <alignment horizontal="left" vertical="center" wrapText="1"/>
    </xf>
    <xf numFmtId="2" fontId="2" fillId="0" borderId="36" applyAlignment="1" pivotButton="0" quotePrefix="0" xfId="0">
      <alignment horizontal="center"/>
    </xf>
    <xf numFmtId="2" fontId="2" fillId="0" borderId="37" applyAlignment="1" pivotButton="0" quotePrefix="0" xfId="1">
      <alignment horizontal="center"/>
    </xf>
    <xf numFmtId="2" fontId="2" fillId="0" borderId="37" applyAlignment="1" pivotButton="0" quotePrefix="0" xfId="2">
      <alignment horizontal="center"/>
    </xf>
    <xf numFmtId="2" fontId="2" fillId="2" borderId="37" applyAlignment="1" pivotButton="0" quotePrefix="0" xfId="0">
      <alignment horizontal="center"/>
    </xf>
    <xf numFmtId="2" fontId="2" fillId="2" borderId="24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 indent="1"/>
    </xf>
    <xf numFmtId="164" fontId="10" fillId="0" borderId="0" pivotButton="0" quotePrefix="0" xfId="0"/>
    <xf numFmtId="0" fontId="10" fillId="0" borderId="0" pivotButton="0" quotePrefix="0" xfId="0"/>
    <xf numFmtId="43" fontId="3" fillId="0" borderId="0" applyAlignment="1" pivotButton="0" quotePrefix="0" xfId="1">
      <alignment horizontal="left" indent="1"/>
    </xf>
    <xf numFmtId="165" fontId="3" fillId="0" borderId="0" applyAlignment="1" pivotButton="0" quotePrefix="0" xfId="1">
      <alignment horizontal="left" indent="1"/>
    </xf>
    <xf numFmtId="0" fontId="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3" fillId="2" borderId="14" applyAlignment="1" pivotButton="0" quotePrefix="0" xfId="0">
      <alignment horizontal="center" vertical="center" textRotation="90"/>
    </xf>
    <xf numFmtId="0" fontId="3" fillId="2" borderId="19" applyAlignment="1" pivotButton="0" quotePrefix="0" xfId="0">
      <alignment horizontal="center" vertical="center" textRotation="90"/>
    </xf>
    <xf numFmtId="0" fontId="3" fillId="2" borderId="22" applyAlignment="1" pivotButton="0" quotePrefix="0" xfId="0">
      <alignment horizontal="center" vertical="center" textRotation="90"/>
    </xf>
    <xf numFmtId="0" fontId="3" fillId="2" borderId="28" applyAlignment="1" pivotButton="0" quotePrefix="0" xfId="0">
      <alignment horizontal="center" vertical="center" textRotation="90"/>
    </xf>
    <xf numFmtId="0" fontId="3" fillId="2" borderId="33" applyAlignment="1" pivotButton="0" quotePrefix="0" xfId="0">
      <alignment horizontal="center" vertical="center" textRotation="90"/>
    </xf>
    <xf numFmtId="0" fontId="3" fillId="2" borderId="34" applyAlignment="1" pivotButton="0" quotePrefix="0" xfId="0">
      <alignment horizontal="center" vertical="center" textRotation="90"/>
    </xf>
    <xf numFmtId="0" fontId="3" fillId="2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0" fontId="3" fillId="2" borderId="7" applyAlignment="1" pivotButton="0" quotePrefix="0" xfId="0">
      <alignment horizontal="center" vertical="top"/>
    </xf>
    <xf numFmtId="0" fontId="3" fillId="2" borderId="8" applyAlignment="1" pivotButton="0" quotePrefix="0" xfId="0">
      <alignment horizontal="center" vertical="top"/>
    </xf>
    <xf numFmtId="0" fontId="3" fillId="2" borderId="9" applyAlignment="1" pivotButton="0" quotePrefix="0" xfId="0">
      <alignment horizontal="center" vertical="top"/>
    </xf>
    <xf numFmtId="0" fontId="3" fillId="2" borderId="6" applyAlignment="1" pivotButton="0" quotePrefix="0" xfId="0">
      <alignment horizontal="center" vertical="top" wrapText="1"/>
    </xf>
    <xf numFmtId="0" fontId="3" fillId="2" borderId="10" applyAlignment="1" pivotButton="0" quotePrefix="0" xfId="0">
      <alignment horizontal="center" vertical="top" wrapText="1"/>
    </xf>
    <xf numFmtId="164" fontId="9" fillId="0" borderId="0" pivotButton="0" quotePrefix="0" xfId="0"/>
    <xf numFmtId="164" fontId="0" fillId="0" borderId="0" pivotButton="0" quotePrefix="0" xfId="0"/>
    <xf numFmtId="0" fontId="0" fillId="0" borderId="6" pivotButton="0" quotePrefix="0" xfId="0"/>
    <xf numFmtId="0" fontId="0" fillId="0" borderId="42" pivotButton="0" quotePrefix="0" xfId="0"/>
    <xf numFmtId="164" fontId="2" fillId="0" borderId="0" pivotButton="0" quotePrefix="0" xfId="0"/>
    <xf numFmtId="0" fontId="0" fillId="0" borderId="16" pivotButton="0" quotePrefix="0" xfId="0"/>
    <xf numFmtId="0" fontId="0" fillId="0" borderId="43" pivotButton="0" quotePrefix="0" xfId="0"/>
    <xf numFmtId="0" fontId="0" fillId="0" borderId="10" pivotButton="0" quotePrefix="0" xfId="0"/>
    <xf numFmtId="164" fontId="2" fillId="0" borderId="0" applyAlignment="1" pivotButton="0" quotePrefix="0" xfId="0">
      <alignment vertical="top"/>
    </xf>
    <xf numFmtId="164" fontId="5" fillId="0" borderId="0" applyAlignment="1" pivotButton="0" quotePrefix="0" xfId="0">
      <alignment vertical="top"/>
    </xf>
    <xf numFmtId="164" fontId="8" fillId="0" borderId="0" pivotButton="0" quotePrefix="0" xfId="0"/>
    <xf numFmtId="0" fontId="0" fillId="0" borderId="33" pivotButton="0" quotePrefix="0" xfId="0"/>
    <xf numFmtId="0" fontId="0" fillId="0" borderId="38" pivotButton="0" quotePrefix="0" xfId="0"/>
    <xf numFmtId="0" fontId="3" fillId="2" borderId="39" applyAlignment="1" pivotButton="0" quotePrefix="0" xfId="0">
      <alignment horizontal="center" vertical="center" textRotation="90"/>
    </xf>
    <xf numFmtId="0" fontId="0" fillId="0" borderId="34" pivotButton="0" quotePrefix="0" xfId="0"/>
    <xf numFmtId="43" fontId="3" fillId="0" borderId="0" applyAlignment="1" pivotButton="0" quotePrefix="0" xfId="1">
      <alignment horizontal="left" indent="1"/>
    </xf>
    <xf numFmtId="165" fontId="3" fillId="0" borderId="0" applyAlignment="1" pivotButton="0" quotePrefix="0" xfId="1">
      <alignment horizontal="left" indent="1"/>
    </xf>
    <xf numFmtId="164" fontId="1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cgiar-my.sharepoint.com/personal/s_lewis_cgiar_org/Documents/TAAT/R4D/KPIS/KPI%20data%20for%20IITA%20for%20AI%20upload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AB21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F3" sqref="F3"/>
    </sheetView>
  </sheetViews>
  <sheetFormatPr baseColWidth="8" defaultRowHeight="14.4"/>
  <cols>
    <col width="3.21875" customWidth="1" style="1" min="2" max="2"/>
    <col width="25.33203125" customWidth="1" style="1" min="3" max="3"/>
    <col width="8.5546875" customWidth="1" style="1" min="4" max="10"/>
    <col width="8.5546875" customWidth="1" style="74" min="11" max="11"/>
    <col width="5.44140625" customWidth="1" style="74" min="12" max="12"/>
    <col width="8.21875" customWidth="1" style="75" min="13" max="14"/>
  </cols>
  <sheetData>
    <row r="1" ht="15" customHeight="1" thickBot="1">
      <c r="C1" s="65" t="inlineStr">
        <is>
          <t>KPI by FTE</t>
        </is>
      </c>
      <c r="D1" s="76" t="n"/>
      <c r="E1" s="76" t="n"/>
      <c r="F1" s="76" t="n"/>
      <c r="G1" s="76" t="n"/>
      <c r="H1" s="76" t="n"/>
      <c r="I1" s="76" t="n"/>
      <c r="J1" s="76" t="n"/>
      <c r="K1" s="77" t="n"/>
      <c r="L1" s="78" t="n"/>
    </row>
    <row r="2" ht="25.95" customFormat="1" customHeight="1" s="8" thickBot="1">
      <c r="B2" s="4" t="n"/>
      <c r="C2" s="5" t="n"/>
      <c r="D2" s="69" t="inlineStr">
        <is>
          <t>Recognition and Reputation</t>
        </is>
      </c>
      <c r="E2" s="79" t="n"/>
      <c r="F2" s="79" t="n"/>
      <c r="G2" s="79" t="n"/>
      <c r="H2" s="80" t="n"/>
      <c r="I2" s="73" t="inlineStr">
        <is>
          <t>Society Impact &amp; Inclusion</t>
        </is>
      </c>
      <c r="J2" s="76" t="n"/>
      <c r="K2" s="81" t="n"/>
      <c r="L2" s="82" t="n"/>
      <c r="M2" s="83" t="n"/>
      <c r="N2" s="83" t="n"/>
    </row>
    <row r="3" ht="132" customFormat="1" customHeight="1" s="18" thickBot="1">
      <c r="B3" s="9" t="n"/>
      <c r="C3" s="10" t="n"/>
      <c r="D3" s="11" t="inlineStr">
        <is>
          <t>ARIs collaborations</t>
        </is>
      </c>
      <c r="E3" s="12" t="inlineStr">
        <is>
          <t>Active collaborations with scaling partners</t>
        </is>
      </c>
      <c r="F3" s="12" t="inlineStr">
        <is>
          <t>Awards grated to IITA stafff</t>
        </is>
      </c>
      <c r="G3" s="12" t="inlineStr">
        <is>
          <t>Invitations to give seminars/talks</t>
        </is>
      </c>
      <c r="H3" s="13" t="inlineStr">
        <is>
          <t>High level engagements</t>
        </is>
      </c>
      <c r="I3" s="14" t="inlineStr">
        <is>
          <t>Approved proposals with GeYSI components</t>
        </is>
      </c>
      <c r="J3" s="15" t="inlineStr">
        <is>
          <t>Approved proposals with climate components</t>
        </is>
      </c>
      <c r="K3" s="16" t="inlineStr">
        <is>
          <t>Approved proposals with nutrition and health components</t>
        </is>
      </c>
      <c r="L3" s="78" t="n"/>
      <c r="M3" s="84" t="n"/>
      <c r="N3" s="84" t="n"/>
    </row>
    <row r="4" ht="15.6" customFormat="1" customHeight="1" s="29">
      <c r="B4" s="59" t="inlineStr">
        <is>
          <t>GI</t>
        </is>
      </c>
      <c r="C4" s="19" t="inlineStr">
        <is>
          <t>Biotech</t>
        </is>
      </c>
      <c r="D4" s="20" t="n">
        <v>2.428571428571428</v>
      </c>
      <c r="E4" s="21" t="inlineStr">
        <is>
          <t>N/A</t>
        </is>
      </c>
      <c r="F4" s="22">
        <f>[1]Sheet1!$U$18</f>
        <v/>
      </c>
      <c r="G4" s="23" t="n">
        <v>0</v>
      </c>
      <c r="H4" s="24" t="n"/>
      <c r="I4" s="25" t="n">
        <v>0</v>
      </c>
      <c r="J4" s="26" t="n">
        <v>0</v>
      </c>
      <c r="K4" s="27" t="n">
        <v>0</v>
      </c>
      <c r="L4" s="78" t="n"/>
      <c r="M4" s="74" t="n"/>
      <c r="N4" s="74" t="n"/>
    </row>
    <row r="5" ht="15.6" customFormat="1" customHeight="1" s="29">
      <c r="B5" s="85" t="n"/>
      <c r="C5" s="30" t="inlineStr">
        <is>
          <t>Breeding</t>
        </is>
      </c>
      <c r="D5" s="20" t="n">
        <v>1</v>
      </c>
      <c r="E5" s="21" t="inlineStr">
        <is>
          <t>N/A</t>
        </is>
      </c>
      <c r="F5" s="22" t="n">
        <v>0</v>
      </c>
      <c r="G5" s="23" t="n">
        <v>0.1304347826086956</v>
      </c>
      <c r="H5" s="24" t="n"/>
      <c r="I5" s="31">
        <f>[1]Sheet1!$W$21</f>
        <v/>
      </c>
      <c r="J5" s="32">
        <f>[1]Sheet1!$W$22</f>
        <v/>
      </c>
      <c r="K5" s="24">
        <f>[1]Sheet1!$W$23</f>
        <v/>
      </c>
      <c r="L5" s="78" t="n"/>
      <c r="M5" s="74" t="n"/>
      <c r="N5" s="74" t="n"/>
    </row>
    <row r="6" ht="15.6" customFormat="1" customHeight="1" s="29">
      <c r="B6" s="85" t="n"/>
      <c r="C6" s="30" t="inlineStr">
        <is>
          <t>Genebanks</t>
        </is>
      </c>
      <c r="D6" s="20" t="n">
        <v>4.75</v>
      </c>
      <c r="E6" s="21" t="inlineStr">
        <is>
          <t>N/A</t>
        </is>
      </c>
      <c r="F6" s="22" t="n">
        <v>0</v>
      </c>
      <c r="G6" s="23" t="n">
        <v>0.25</v>
      </c>
      <c r="H6" s="24" t="n"/>
      <c r="I6" s="31" t="n">
        <v>0</v>
      </c>
      <c r="J6" s="32" t="n">
        <v>0</v>
      </c>
      <c r="K6" s="24" t="n">
        <v>0</v>
      </c>
      <c r="L6" s="78" t="n"/>
      <c r="M6" s="74" t="n"/>
      <c r="N6" s="74" t="n"/>
    </row>
    <row r="7" ht="15.6" customFormat="1" customHeight="1" s="29" thickBot="1">
      <c r="B7" s="86" t="n"/>
      <c r="C7" s="33" t="inlineStr">
        <is>
          <t>Seed System</t>
        </is>
      </c>
      <c r="D7" s="20" t="n">
        <v>0</v>
      </c>
      <c r="E7" s="21" t="n">
        <v>0.9333333333333333</v>
      </c>
      <c r="F7" s="22">
        <f>[1]Sheet1!$AA$18</f>
        <v/>
      </c>
      <c r="G7" s="23" t="n">
        <v>0</v>
      </c>
      <c r="H7" s="24" t="n"/>
      <c r="I7" s="34">
        <f>[1]Sheet1!$AA$21</f>
        <v/>
      </c>
      <c r="J7" s="35">
        <f>[1]Sheet1!$AA$22</f>
        <v/>
      </c>
      <c r="K7" s="36">
        <f>[1]Sheet1!$AA$23</f>
        <v/>
      </c>
      <c r="L7" s="78" t="n"/>
      <c r="M7" s="74" t="n"/>
      <c r="N7" s="74" t="n"/>
    </row>
    <row r="8" ht="15.6" customFormat="1" customHeight="1" s="29">
      <c r="B8" s="59" t="inlineStr">
        <is>
          <t>RAFS</t>
        </is>
      </c>
      <c r="C8" s="19" t="inlineStr">
        <is>
          <t>Plant Health</t>
        </is>
      </c>
      <c r="D8" s="20" t="n">
        <v>1.5</v>
      </c>
      <c r="E8" s="21" t="n">
        <v>0.08333333333333333</v>
      </c>
      <c r="F8" s="22">
        <f>[1]Sheet1!$AC$18</f>
        <v/>
      </c>
      <c r="G8" s="23" t="n">
        <v>0.4166666666666667</v>
      </c>
      <c r="H8" s="24" t="n"/>
      <c r="I8" s="25">
        <f>[1]Sheet1!$AC$21</f>
        <v/>
      </c>
      <c r="J8" s="26">
        <f>[1]Sheet1!$AC$22</f>
        <v/>
      </c>
      <c r="K8" s="27" t="n">
        <v>0</v>
      </c>
      <c r="L8" s="78" t="n"/>
      <c r="M8" s="74" t="n"/>
      <c r="N8" s="74" t="n"/>
    </row>
    <row r="9" ht="15.6" customFormat="1" customHeight="1" s="29">
      <c r="B9" s="85" t="n"/>
      <c r="C9" s="30" t="inlineStr">
        <is>
          <t>Farming Systems Agronomy</t>
        </is>
      </c>
      <c r="D9" s="20" t="n">
        <v>2.15</v>
      </c>
      <c r="E9" s="21" t="n">
        <v>0.85</v>
      </c>
      <c r="F9" s="22" t="n">
        <v>0</v>
      </c>
      <c r="G9" s="23" t="n">
        <v>0.15</v>
      </c>
      <c r="H9" s="24" t="n"/>
      <c r="I9" s="31">
        <f>[1]Sheet1!$AE$21</f>
        <v/>
      </c>
      <c r="J9" s="32">
        <f>[1]Sheet1!$AE$22</f>
        <v/>
      </c>
      <c r="K9" s="24">
        <f>[1]Sheet1!$AE$23</f>
        <v/>
      </c>
      <c r="L9" s="78" t="n"/>
      <c r="M9" s="74" t="n"/>
      <c r="N9" s="74" t="n"/>
    </row>
    <row r="10" ht="15.6" customFormat="1" customHeight="1" s="29">
      <c r="B10" s="85" t="n"/>
      <c r="C10" s="30" t="inlineStr">
        <is>
          <t>NRM</t>
        </is>
      </c>
      <c r="D10" s="20" t="n">
        <v>0</v>
      </c>
      <c r="E10" s="21" t="n">
        <v>0.4285714285714285</v>
      </c>
      <c r="F10" s="22" t="n">
        <v>0</v>
      </c>
      <c r="G10" s="23" t="n">
        <v>0</v>
      </c>
      <c r="H10" s="24" t="n"/>
      <c r="I10" s="31">
        <f>[1]Sheet1!$AG$21</f>
        <v/>
      </c>
      <c r="J10" s="32">
        <f>[1]Sheet1!$AG$22</f>
        <v/>
      </c>
      <c r="K10" s="24" t="n">
        <v>0</v>
      </c>
      <c r="L10" s="78" t="n"/>
      <c r="M10" s="74" t="n"/>
      <c r="N10" s="74" t="n"/>
    </row>
    <row r="11" ht="15.6" customFormat="1" customHeight="1" s="29" thickBot="1">
      <c r="B11" s="86" t="n"/>
      <c r="C11" s="33" t="inlineStr">
        <is>
          <t>Mechanization</t>
        </is>
      </c>
      <c r="D11" s="20" t="n">
        <v>0</v>
      </c>
      <c r="E11" s="21" t="n">
        <v>0</v>
      </c>
      <c r="F11" s="22" t="n">
        <v>0</v>
      </c>
      <c r="G11" s="23" t="n">
        <v>0</v>
      </c>
      <c r="H11" s="24" t="n"/>
      <c r="I11" s="34" t="n">
        <v>0</v>
      </c>
      <c r="J11" s="35" t="n">
        <v>0</v>
      </c>
      <c r="K11" s="36" t="n">
        <v>0</v>
      </c>
      <c r="L11" s="78" t="n"/>
      <c r="M11" s="74" t="n"/>
      <c r="N11" s="74" t="n"/>
    </row>
    <row r="12" ht="15.6" customFormat="1" customHeight="1" s="29">
      <c r="B12" s="87" t="inlineStr">
        <is>
          <t>ST</t>
        </is>
      </c>
      <c r="C12" s="38" t="inlineStr">
        <is>
          <t>FIAS</t>
        </is>
      </c>
      <c r="D12" s="20" t="n">
        <v>0.6363636363636364</v>
      </c>
      <c r="E12" s="21" t="n">
        <v>0</v>
      </c>
      <c r="F12" s="22" t="n">
        <v>0</v>
      </c>
      <c r="G12" s="39" t="n">
        <v>0</v>
      </c>
      <c r="H12" s="24" t="n"/>
      <c r="I12" s="40" t="n">
        <v>0</v>
      </c>
      <c r="J12" s="41" t="n">
        <v>0</v>
      </c>
      <c r="K12" s="42" t="n">
        <v>0</v>
      </c>
      <c r="L12" s="78" t="n"/>
      <c r="M12" s="74" t="n"/>
      <c r="N12" s="74" t="n"/>
    </row>
    <row r="13" ht="15.6" customFormat="1" customHeight="1" s="29">
      <c r="B13" s="85" t="n"/>
      <c r="C13" s="37" t="inlineStr">
        <is>
          <t>GeYSI</t>
        </is>
      </c>
      <c r="D13" s="20" t="n">
        <v>0</v>
      </c>
      <c r="E13" s="21" t="n">
        <v>0</v>
      </c>
      <c r="F13" s="22" t="n">
        <v>0</v>
      </c>
      <c r="G13" s="39" t="n">
        <v>0.2727272727272727</v>
      </c>
      <c r="H13" s="24" t="n"/>
      <c r="I13" s="43" t="n">
        <v>0</v>
      </c>
      <c r="J13" s="32" t="n">
        <v>0</v>
      </c>
      <c r="K13" s="24" t="n">
        <v>0</v>
      </c>
      <c r="L13" s="78" t="n"/>
      <c r="M13" s="74" t="n"/>
      <c r="N13" s="74" t="n"/>
    </row>
    <row r="14" ht="15.6" customFormat="1" customHeight="1" s="29">
      <c r="B14" s="85" t="n"/>
      <c r="C14" s="37" t="inlineStr">
        <is>
          <t>RCA</t>
        </is>
      </c>
      <c r="D14" s="20" t="n">
        <v>1.2</v>
      </c>
      <c r="E14" s="21" t="n">
        <v>0.6</v>
      </c>
      <c r="F14" s="22" t="n">
        <v>0</v>
      </c>
      <c r="G14" s="39" t="n">
        <v>0.6</v>
      </c>
      <c r="H14" s="24" t="n"/>
      <c r="I14" s="43" t="n">
        <v>0</v>
      </c>
      <c r="J14" s="32" t="n">
        <v>0</v>
      </c>
      <c r="K14" s="24" t="n">
        <v>0</v>
      </c>
      <c r="L14" s="78" t="n"/>
      <c r="M14" s="74" t="n"/>
      <c r="N14" s="74" t="n"/>
    </row>
    <row r="15" ht="15.6" customFormat="1" customHeight="1" s="29">
      <c r="B15" s="85" t="n"/>
      <c r="C15" s="37" t="inlineStr">
        <is>
          <t>Nutrition</t>
        </is>
      </c>
      <c r="D15" s="20" t="n">
        <v>1.75</v>
      </c>
      <c r="E15" s="21" t="n">
        <v>0</v>
      </c>
      <c r="F15" s="22" t="n">
        <v>0</v>
      </c>
      <c r="G15" s="39" t="n">
        <v>0</v>
      </c>
      <c r="H15" s="24" t="n"/>
      <c r="I15" s="43" t="n">
        <v>0</v>
      </c>
      <c r="J15" s="32" t="n">
        <v>0</v>
      </c>
      <c r="K15" s="24" t="n">
        <v>0</v>
      </c>
      <c r="L15" s="78" t="n"/>
      <c r="M15" s="74" t="n"/>
      <c r="N15" s="74" t="n"/>
    </row>
    <row r="16" ht="15.45" customFormat="1" customHeight="1" s="29" thickBot="1">
      <c r="B16" s="88" t="n"/>
      <c r="C16" s="44" t="inlineStr">
        <is>
          <t>VCMA</t>
        </is>
      </c>
      <c r="D16" s="45" t="n">
        <v>0</v>
      </c>
      <c r="E16" s="46" t="n">
        <v>0</v>
      </c>
      <c r="F16" s="47">
        <f>[1]Sheet1!$AS$18</f>
        <v/>
      </c>
      <c r="G16" s="48" t="n">
        <v>0</v>
      </c>
      <c r="H16" s="36" t="n"/>
      <c r="I16" s="49">
        <f>[1]Sheet1!$AS$21</f>
        <v/>
      </c>
      <c r="J16" s="35" t="n">
        <v>0</v>
      </c>
      <c r="K16" s="36" t="n">
        <v>0</v>
      </c>
      <c r="L16" s="78" t="n"/>
      <c r="M16" s="74" t="n"/>
      <c r="N16" s="74" t="n"/>
    </row>
    <row r="17" customFormat="1" s="54">
      <c r="B17" s="51" t="n"/>
      <c r="C17" s="52" t="inlineStr">
        <is>
          <t>per Program Target (target/13)</t>
        </is>
      </c>
      <c r="D17" s="89" t="n">
        <v>0.2255639097744361</v>
      </c>
      <c r="E17" s="89" t="n">
        <v>0.1879699248120301</v>
      </c>
      <c r="F17" s="89" t="n">
        <v>0.2255639097744361</v>
      </c>
      <c r="G17" s="89" t="n">
        <v>0.2255639097744361</v>
      </c>
      <c r="H17" s="52" t="n"/>
      <c r="I17" s="90" t="n">
        <v>0.001879699248120301</v>
      </c>
      <c r="J17" s="90" t="n">
        <v>0.001879699248120301</v>
      </c>
      <c r="K17" s="90" t="n">
        <v>0.001879699248120301</v>
      </c>
      <c r="L17" s="51" t="n"/>
      <c r="M17" s="91" t="n"/>
      <c r="N17" s="91" t="n"/>
      <c r="O17" s="91" t="n"/>
      <c r="P17" s="91" t="n"/>
      <c r="Q17" s="91" t="n"/>
      <c r="R17" s="91" t="n"/>
      <c r="S17" s="91" t="n"/>
      <c r="T17" s="91" t="n"/>
      <c r="U17" s="91" t="n"/>
      <c r="V17" s="91" t="n"/>
      <c r="W17" s="91" t="n"/>
      <c r="X17" s="91" t="n"/>
      <c r="Y17" s="91" t="n"/>
      <c r="Z17" s="91" t="n"/>
      <c r="AA17" s="91" t="n"/>
      <c r="AB17" s="91" t="n"/>
    </row>
    <row r="18"/>
    <row r="19" hidden="1">
      <c r="B19" s="57" t="n"/>
      <c r="D19" s="58" t="n"/>
    </row>
    <row r="20" hidden="1">
      <c r="B20" s="57" t="n"/>
      <c r="D20" s="50" t="n"/>
    </row>
    <row r="21" hidden="1">
      <c r="B21" s="57" t="n"/>
      <c r="D21" s="57" t="n"/>
    </row>
    <row r="22" hidden="1"/>
    <row r="23" hidden="1"/>
  </sheetData>
  <mergeCells count="6">
    <mergeCell ref="C1:K1"/>
    <mergeCell ref="I2:K2"/>
    <mergeCell ref="B8:B11"/>
    <mergeCell ref="D2:H2"/>
    <mergeCell ref="B4:B7"/>
    <mergeCell ref="B12:B16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orientation="landscape" paperSize="8" scale="8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Lewis, Sabra (IITA)</dc:creator>
  <dcterms:created xsi:type="dcterms:W3CDTF">2026-04-08T13:57:25Z</dcterms:created>
  <dcterms:modified xsi:type="dcterms:W3CDTF">2026-04-09T14:09:13Z</dcterms:modified>
  <cp:lastModifiedBy>Devari, Aalakh (SI EA R&amp;D AU SDA)</cp:lastModifiedBy>
</cp:coreProperties>
</file>