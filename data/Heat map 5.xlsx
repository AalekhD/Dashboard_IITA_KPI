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Reputation, Society" sheetId="1" state="visible" r:id="rId1"/>
  </sheets>
  <definedNames>
    <definedName name="_Hlk200085589" localSheetId="0">'Reputation, Society'!#REF!</definedName>
    <definedName name="_xlnm.Print_Area" localSheetId="0">'Reputation, Society'!$B$1:$L$19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(* #,##0_);_(* \(#,##0\);_(* &quot;-&quot;??_);_(@_)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9"/>
    </font>
    <font>
      <name val="Calibri"/>
      <family val="2"/>
      <b val="1"/>
      <color rgb="FF0070C0"/>
      <sz val="9"/>
    </font>
    <font>
      <name val="Calibri"/>
      <family val="2"/>
      <b val="1"/>
      <color rgb="FF00B0F0"/>
      <sz val="9"/>
    </font>
    <font>
      <name val="Calibri"/>
      <family val="2"/>
      <color theme="1"/>
      <sz val="10"/>
    </font>
    <font>
      <name val="Calibri"/>
      <family val="2"/>
      <color rgb="FF000000"/>
      <sz val="9"/>
    </font>
    <font>
      <name val="Aptos Narrow"/>
      <family val="2"/>
      <color theme="1"/>
      <sz val="8"/>
      <scheme val="minor"/>
    </font>
    <font>
      <name val="Aptos Narrow"/>
      <family val="2"/>
      <color theme="1"/>
      <sz val="9"/>
      <scheme val="minor"/>
    </font>
    <font>
      <name val="Calibri"/>
      <family val="2"/>
      <b val="1"/>
      <color rgb="FF00B050"/>
      <sz val="9"/>
    </font>
    <font>
      <name val="Aptos Narrow"/>
      <family val="2"/>
      <b val="1"/>
      <color rgb="FF00B050"/>
      <sz val="9"/>
      <scheme val="minor"/>
    </font>
    <font>
      <name val="Aptos Narrow"/>
      <family val="2"/>
      <b val="1"/>
      <color rgb="FF0070C0"/>
      <sz val="9"/>
      <scheme val="minor"/>
    </font>
    <font>
      <name val="Aptos Narrow"/>
      <family val="2"/>
      <b val="1"/>
      <color rgb="FF0070C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B05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103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applyAlignment="1" pivotButton="0" quotePrefix="0" xfId="0">
      <alignment vertical="top"/>
    </xf>
    <xf numFmtId="0" fontId="4" fillId="2" borderId="5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top"/>
    </xf>
    <xf numFmtId="164" fontId="5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2" fillId="0" borderId="5" applyAlignment="1" pivotButton="0" quotePrefix="0" xfId="0">
      <alignment horizontal="left" vertical="top"/>
    </xf>
    <xf numFmtId="0" fontId="6" fillId="0" borderId="11" applyAlignment="1" pivotButton="0" quotePrefix="0" xfId="0">
      <alignment horizontal="left" textRotation="90" wrapText="1" readingOrder="1"/>
    </xf>
    <xf numFmtId="0" fontId="6" fillId="0" borderId="12" applyAlignment="1" pivotButton="0" quotePrefix="0" xfId="0">
      <alignment horizontal="left" textRotation="90" wrapText="1" readingOrder="1"/>
    </xf>
    <xf numFmtId="0" fontId="6" fillId="0" borderId="13" applyAlignment="1" pivotButton="0" quotePrefix="0" xfId="0">
      <alignment horizontal="left" textRotation="90" wrapText="1" readingOrder="1"/>
    </xf>
    <xf numFmtId="0" fontId="6" fillId="0" borderId="9" applyAlignment="1" pivotButton="0" quotePrefix="0" xfId="0">
      <alignment horizontal="left" textRotation="90" wrapText="1" readingOrder="1"/>
    </xf>
    <xf numFmtId="0" fontId="6" fillId="0" borderId="3" applyAlignment="1" pivotButton="0" quotePrefix="0" xfId="0">
      <alignment horizontal="left" textRotation="90" wrapText="1" readingOrder="1"/>
    </xf>
    <xf numFmtId="0" fontId="6" fillId="0" borderId="4" applyAlignment="1" pivotButton="0" quotePrefix="0" xfId="0">
      <alignment horizontal="left" textRotation="90" wrapText="1" readingOrder="1"/>
    </xf>
    <xf numFmtId="0" fontId="6" fillId="0" borderId="0" applyAlignment="1" pivotButton="0" quotePrefix="0" xfId="0">
      <alignment horizontal="center" textRotation="90" wrapText="1" readingOrder="1"/>
    </xf>
    <xf numFmtId="164" fontId="7" fillId="0" borderId="0" pivotButton="0" quotePrefix="0" xfId="0"/>
    <xf numFmtId="0" fontId="7" fillId="0" borderId="0" pivotButton="0" quotePrefix="0" xfId="0"/>
    <xf numFmtId="0" fontId="6" fillId="0" borderId="15" applyAlignment="1" pivotButton="0" quotePrefix="0" xfId="0">
      <alignment horizontal="left" vertical="center" wrapText="1"/>
    </xf>
    <xf numFmtId="164" fontId="2" fillId="0" borderId="11" applyAlignment="1" pivotButton="0" quotePrefix="0" xfId="1">
      <alignment horizontal="center" vertical="center"/>
    </xf>
    <xf numFmtId="164" fontId="2" fillId="0" borderId="12" applyAlignment="1" pivotButton="0" quotePrefix="0" xfId="1">
      <alignment horizontal="center" vertical="center"/>
    </xf>
    <xf numFmtId="164" fontId="2" fillId="0" borderId="13" applyAlignment="1" pivotButton="0" quotePrefix="0" xfId="1">
      <alignment horizontal="center" vertical="center"/>
    </xf>
    <xf numFmtId="164" fontId="2" fillId="0" borderId="16" applyAlignment="1" pivotButton="0" quotePrefix="0" xfId="1">
      <alignment horizontal="center" vertical="center"/>
    </xf>
    <xf numFmtId="164" fontId="2" fillId="0" borderId="7" applyAlignment="1" pivotButton="0" quotePrefix="0" xfId="1">
      <alignment horizontal="center" vertical="center"/>
    </xf>
    <xf numFmtId="164" fontId="2" fillId="0" borderId="8" applyAlignment="1" pivotButton="0" quotePrefix="0" xfId="1">
      <alignment horizontal="center" vertical="center"/>
    </xf>
    <xf numFmtId="0" fontId="2" fillId="0" borderId="0" applyAlignment="1" pivotButton="0" quotePrefix="0" xfId="0">
      <alignment horizontal="right"/>
    </xf>
    <xf numFmtId="164" fontId="8" fillId="0" borderId="0" pivotButton="0" quotePrefix="0" xfId="0"/>
    <xf numFmtId="0" fontId="8" fillId="0" borderId="0" pivotButton="0" quotePrefix="0" xfId="0"/>
    <xf numFmtId="0" fontId="6" fillId="0" borderId="18" applyAlignment="1" pivotButton="0" quotePrefix="0" xfId="0">
      <alignment horizontal="left" vertical="center" wrapText="1"/>
    </xf>
    <xf numFmtId="164" fontId="2" fillId="0" borderId="19" applyAlignment="1" pivotButton="0" quotePrefix="0" xfId="1">
      <alignment horizontal="center" vertical="center"/>
    </xf>
    <xf numFmtId="0" fontId="6" fillId="0" borderId="21" applyAlignment="1" pivotButton="0" quotePrefix="0" xfId="0">
      <alignment horizontal="left" vertical="center" wrapText="1"/>
    </xf>
    <xf numFmtId="164" fontId="2" fillId="0" borderId="22" applyAlignment="1" pivotButton="0" quotePrefix="0" xfId="1">
      <alignment horizontal="center" vertical="center"/>
    </xf>
    <xf numFmtId="164" fontId="2" fillId="0" borderId="23" applyAlignment="1" pivotButton="0" quotePrefix="0" xfId="1">
      <alignment horizontal="center" vertical="center"/>
    </xf>
    <xf numFmtId="164" fontId="2" fillId="0" borderId="24" applyAlignment="1" pivotButton="0" quotePrefix="0" xfId="1">
      <alignment horizontal="center" vertical="center"/>
    </xf>
    <xf numFmtId="164" fontId="2" fillId="2" borderId="12" applyAlignment="1" pivotButton="0" quotePrefix="0" xfId="1">
      <alignment horizontal="center" vertical="center"/>
    </xf>
    <xf numFmtId="164" fontId="2" fillId="0" borderId="28" applyAlignment="1" pivotButton="0" quotePrefix="0" xfId="1">
      <alignment horizontal="center" vertical="center"/>
    </xf>
    <xf numFmtId="164" fontId="2" fillId="2" borderId="23" applyAlignment="1" pivotButton="0" quotePrefix="0" xfId="1">
      <alignment horizontal="center" vertical="center"/>
    </xf>
    <xf numFmtId="0" fontId="2" fillId="0" borderId="0" applyAlignment="1" pivotButton="0" quotePrefix="0" xfId="0">
      <alignment horizontal="left"/>
    </xf>
    <xf numFmtId="0" fontId="9" fillId="0" borderId="0" pivotButton="0" quotePrefix="0" xfId="0"/>
    <xf numFmtId="0" fontId="9" fillId="0" borderId="0" applyAlignment="1" pivotButton="0" quotePrefix="0" xfId="0">
      <alignment horizontal="right"/>
    </xf>
    <xf numFmtId="165" fontId="9" fillId="0" borderId="0" applyAlignment="1" pivotButton="0" quotePrefix="0" xfId="1">
      <alignment horizontal="right"/>
    </xf>
    <xf numFmtId="165" fontId="9" fillId="0" borderId="0" applyAlignment="1" pivotButton="0" quotePrefix="0" xfId="1">
      <alignment horizontal="right"/>
    </xf>
    <xf numFmtId="9" fontId="9" fillId="0" borderId="0" applyAlignment="1" pivotButton="0" quotePrefix="0" xfId="2">
      <alignment horizontal="right"/>
    </xf>
    <xf numFmtId="165" fontId="9" fillId="0" borderId="0" applyAlignment="1" pivotButton="0" quotePrefix="0" xfId="1">
      <alignment horizontal="center"/>
    </xf>
    <xf numFmtId="164" fontId="10" fillId="0" borderId="0" pivotButton="0" quotePrefix="0" xfId="0"/>
    <xf numFmtId="0" fontId="11" fillId="0" borderId="0" pivotButton="0" quotePrefix="0" xfId="0"/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1">
      <alignment horizontal="right"/>
    </xf>
    <xf numFmtId="9" fontId="3" fillId="0" borderId="0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64" fontId="12" fillId="0" borderId="0" pivotButton="0" quotePrefix="0" xfId="0"/>
    <xf numFmtId="0" fontId="12" fillId="0" borderId="0" pivotButton="0" quotePrefix="0" xfId="0"/>
    <xf numFmtId="2" fontId="3" fillId="0" borderId="0" applyAlignment="1" pivotButton="0" quotePrefix="0" xfId="0">
      <alignment horizontal="right"/>
    </xf>
    <xf numFmtId="165" fontId="2" fillId="0" borderId="0" pivotButton="0" quotePrefix="0" xfId="1"/>
    <xf numFmtId="9" fontId="2" fillId="0" borderId="0" applyAlignment="1" pivotButton="0" quotePrefix="0" xfId="2">
      <alignment horizontal="center"/>
    </xf>
    <xf numFmtId="0" fontId="3" fillId="2" borderId="25" applyAlignment="1" pivotButton="0" quotePrefix="0" xfId="0">
      <alignment horizontal="center" vertical="center" textRotation="90"/>
    </xf>
    <xf numFmtId="0" fontId="3" fillId="2" borderId="26" applyAlignment="1" pivotButton="0" quotePrefix="0" xfId="0">
      <alignment horizontal="center" vertical="center" textRotation="90"/>
    </xf>
    <xf numFmtId="0" fontId="3" fillId="2" borderId="27" applyAlignment="1" pivotButton="0" quotePrefix="0" xfId="0">
      <alignment horizontal="center" vertical="center" textRotation="90"/>
    </xf>
    <xf numFmtId="0" fontId="3" fillId="2" borderId="14" applyAlignment="1" pivotButton="0" quotePrefix="0" xfId="0">
      <alignment horizontal="center" vertical="center" textRotation="90"/>
    </xf>
    <xf numFmtId="0" fontId="3" fillId="2" borderId="17" applyAlignment="1" pivotButton="0" quotePrefix="0" xfId="0">
      <alignment horizontal="center" vertical="center" textRotation="90"/>
    </xf>
    <xf numFmtId="0" fontId="3" fillId="2" borderId="20" applyAlignment="1" pivotButton="0" quotePrefix="0" xfId="0">
      <alignment horizontal="center" vertical="center" textRotation="90"/>
    </xf>
    <xf numFmtId="0" fontId="3" fillId="2" borderId="1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0" fontId="3" fillId="2" borderId="6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top" wrapText="1"/>
    </xf>
    <xf numFmtId="0" fontId="3" fillId="2" borderId="8" applyAlignment="1" pivotButton="0" quotePrefix="0" xfId="0">
      <alignment horizontal="center" vertical="top" wrapText="1"/>
    </xf>
    <xf numFmtId="0" fontId="3" fillId="2" borderId="9" applyAlignment="1" pivotButton="0" quotePrefix="0" xfId="0">
      <alignment horizontal="center" vertical="top" wrapText="1"/>
    </xf>
    <xf numFmtId="0" fontId="3" fillId="2" borderId="10" applyAlignment="1" pivotButton="0" quotePrefix="0" xfId="0">
      <alignment horizontal="center" vertical="top" wrapText="1"/>
    </xf>
    <xf numFmtId="165" fontId="2" fillId="0" borderId="0" pivotButton="0" quotePrefix="0" xfId="1"/>
    <xf numFmtId="164" fontId="0" fillId="0" borderId="0" pivotButton="0" quotePrefix="0" xfId="0"/>
    <xf numFmtId="0" fontId="0" fillId="0" borderId="9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16" pivotButton="0" quotePrefix="0" xfId="0"/>
    <xf numFmtId="0" fontId="0" fillId="0" borderId="10" pivotButton="0" quotePrefix="0" xfId="0"/>
    <xf numFmtId="164" fontId="5" fillId="0" borderId="0" applyAlignment="1" pivotButton="0" quotePrefix="0" xfId="0">
      <alignment vertical="top"/>
    </xf>
    <xf numFmtId="164" fontId="7" fillId="0" borderId="0" pivotButton="0" quotePrefix="0" xfId="0"/>
    <xf numFmtId="164" fontId="2" fillId="0" borderId="11" applyAlignment="1" pivotButton="0" quotePrefix="0" xfId="1">
      <alignment horizontal="center" vertical="center"/>
    </xf>
    <xf numFmtId="164" fontId="2" fillId="0" borderId="12" applyAlignment="1" pivotButton="0" quotePrefix="0" xfId="1">
      <alignment horizontal="center" vertical="center"/>
    </xf>
    <xf numFmtId="164" fontId="2" fillId="0" borderId="13" applyAlignment="1" pivotButton="0" quotePrefix="0" xfId="1">
      <alignment horizontal="center" vertical="center"/>
    </xf>
    <xf numFmtId="164" fontId="2" fillId="0" borderId="16" applyAlignment="1" pivotButton="0" quotePrefix="0" xfId="1">
      <alignment horizontal="center" vertical="center"/>
    </xf>
    <xf numFmtId="164" fontId="2" fillId="0" borderId="7" applyAlignment="1" pivotButton="0" quotePrefix="0" xfId="1">
      <alignment horizontal="center" vertical="center"/>
    </xf>
    <xf numFmtId="164" fontId="2" fillId="0" borderId="8" applyAlignment="1" pivotButton="0" quotePrefix="0" xfId="1">
      <alignment horizontal="center" vertical="center"/>
    </xf>
    <xf numFmtId="164" fontId="8" fillId="0" borderId="0" pivotButton="0" quotePrefix="0" xfId="0"/>
    <xf numFmtId="0" fontId="0" fillId="0" borderId="26" pivotButton="0" quotePrefix="0" xfId="0"/>
    <xf numFmtId="164" fontId="2" fillId="0" borderId="19" applyAlignment="1" pivotButton="0" quotePrefix="0" xfId="1">
      <alignment horizontal="center" vertical="center"/>
    </xf>
    <xf numFmtId="0" fontId="0" fillId="0" borderId="29" pivotButton="0" quotePrefix="0" xfId="0"/>
    <xf numFmtId="164" fontId="2" fillId="0" borderId="22" applyAlignment="1" pivotButton="0" quotePrefix="0" xfId="1">
      <alignment horizontal="center" vertical="center"/>
    </xf>
    <xf numFmtId="164" fontId="2" fillId="0" borderId="23" applyAlignment="1" pivotButton="0" quotePrefix="0" xfId="1">
      <alignment horizontal="center" vertical="center"/>
    </xf>
    <xf numFmtId="164" fontId="2" fillId="0" borderId="24" applyAlignment="1" pivotButton="0" quotePrefix="0" xfId="1">
      <alignment horizontal="center" vertical="center"/>
    </xf>
    <xf numFmtId="0" fontId="3" fillId="2" borderId="5" applyAlignment="1" pivotButton="0" quotePrefix="0" xfId="0">
      <alignment horizontal="center" vertical="center" textRotation="90"/>
    </xf>
    <xf numFmtId="164" fontId="2" fillId="2" borderId="12" applyAlignment="1" pivotButton="0" quotePrefix="0" xfId="1">
      <alignment horizontal="center" vertical="center"/>
    </xf>
    <xf numFmtId="0" fontId="0" fillId="0" borderId="27" pivotButton="0" quotePrefix="0" xfId="0"/>
    <xf numFmtId="164" fontId="2" fillId="0" borderId="28" applyAlignment="1" pivotButton="0" quotePrefix="0" xfId="1">
      <alignment horizontal="center" vertical="center"/>
    </xf>
    <xf numFmtId="164" fontId="2" fillId="2" borderId="23" applyAlignment="1" pivotButton="0" quotePrefix="0" xfId="1">
      <alignment horizontal="center" vertical="center"/>
    </xf>
    <xf numFmtId="164" fontId="10" fillId="0" borderId="0" pivotButton="0" quotePrefix="0" xfId="0"/>
    <xf numFmtId="165" fontId="9" fillId="0" borderId="0" applyAlignment="1" pivotButton="0" quotePrefix="0" xfId="1">
      <alignment horizontal="right"/>
    </xf>
    <xf numFmtId="165" fontId="9" fillId="0" borderId="0" applyAlignment="1" pivotButton="0" quotePrefix="0" xfId="1">
      <alignment horizontal="center"/>
    </xf>
    <xf numFmtId="165" fontId="3" fillId="0" borderId="0" applyAlignment="1" pivotButton="0" quotePrefix="0" xfId="1">
      <alignment horizontal="right"/>
    </xf>
    <xf numFmtId="164" fontId="12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AB19"/>
  <sheetViews>
    <sheetView tabSelected="1" zoomScale="60" zoomScaleNormal="60" zoomScaleSheetLayoutView="75" workbookViewId="0">
      <pane ySplit="3" topLeftCell="A6" activePane="bottomLeft" state="frozen"/>
      <selection activeCell="B1" sqref="B1:O20"/>
      <selection pane="bottomLeft" activeCell="N32" sqref="N32"/>
    </sheetView>
  </sheetViews>
  <sheetFormatPr baseColWidth="8" defaultRowHeight="14.4"/>
  <cols>
    <col width="4.21875" customWidth="1" style="28" min="1" max="1"/>
    <col width="3.21875" bestFit="1" customWidth="1" style="28" min="2" max="2"/>
    <col width="23.77734375" customWidth="1" style="38" min="3" max="3"/>
    <col width="9.77734375" customWidth="1" style="71" min="4" max="5"/>
    <col width="9.77734375" customWidth="1" style="55" min="6" max="6"/>
    <col width="9.77734375" customWidth="1" style="2" min="7" max="11"/>
    <col width="5.6640625" customWidth="1" style="2" min="12" max="12"/>
    <col width="8.21875" customWidth="1" style="72" min="13" max="14"/>
  </cols>
  <sheetData>
    <row r="1" ht="15" customHeight="1" thickBot="1">
      <c r="A1" s="1" t="n"/>
      <c r="B1" s="1" t="n"/>
      <c r="C1" s="62" t="inlineStr">
        <is>
          <t>KPI by Nr.</t>
        </is>
      </c>
      <c r="D1" s="73" t="n"/>
      <c r="E1" s="73" t="n"/>
      <c r="F1" s="73" t="n"/>
      <c r="G1" s="73" t="n"/>
      <c r="H1" s="73" t="n"/>
      <c r="I1" s="73" t="n"/>
      <c r="J1" s="73" t="n"/>
      <c r="K1" s="74" t="n"/>
    </row>
    <row r="2" ht="25.95" customFormat="1" customHeight="1" s="8" thickBot="1">
      <c r="A2" s="4" t="n"/>
      <c r="B2" s="4" t="n"/>
      <c r="C2" s="5" t="n"/>
      <c r="D2" s="66" t="inlineStr">
        <is>
          <t>Recognition and Reputation</t>
        </is>
      </c>
      <c r="E2" s="75" t="n"/>
      <c r="F2" s="75" t="n"/>
      <c r="G2" s="75" t="n"/>
      <c r="H2" s="76" t="n"/>
      <c r="I2" s="70" t="inlineStr">
        <is>
          <t>Society Impact &amp; Inclusion</t>
        </is>
      </c>
      <c r="J2" s="73" t="n"/>
      <c r="K2" s="77" t="n"/>
      <c r="L2" s="6" t="n"/>
      <c r="M2" s="78" t="n"/>
      <c r="N2" s="78" t="n"/>
    </row>
    <row r="3" ht="132" customFormat="1" customHeight="1" s="18" thickBot="1">
      <c r="A3" s="1" t="n"/>
      <c r="B3" s="1" t="n"/>
      <c r="C3" s="9" t="n"/>
      <c r="D3" s="10" t="inlineStr">
        <is>
          <t>ARIs collaborations</t>
        </is>
      </c>
      <c r="E3" s="11" t="inlineStr">
        <is>
          <t>Active collaborations with scaling partners</t>
        </is>
      </c>
      <c r="F3" s="11" t="inlineStr">
        <is>
          <t>Awards grated to IITA stafff</t>
        </is>
      </c>
      <c r="G3" s="11" t="inlineStr">
        <is>
          <t>Invitations to give seminars/talks</t>
        </is>
      </c>
      <c r="H3" s="12" t="inlineStr">
        <is>
          <t>High level engagements</t>
        </is>
      </c>
      <c r="I3" s="13" t="inlineStr">
        <is>
          <t>Approved proposals with GeYSI components</t>
        </is>
      </c>
      <c r="J3" s="14" t="inlineStr">
        <is>
          <t>Approved proposals with climate components</t>
        </is>
      </c>
      <c r="K3" s="15" t="inlineStr">
        <is>
          <t>Approved proposals with nutrition and health components</t>
        </is>
      </c>
      <c r="L3" s="16" t="n"/>
      <c r="M3" s="79" t="n"/>
      <c r="N3" s="79" t="n"/>
    </row>
    <row r="4" ht="15.6" customFormat="1" customHeight="1" s="28" thickBot="1">
      <c r="A4" s="1" t="n"/>
      <c r="B4" s="59" t="inlineStr">
        <is>
          <t>GI</t>
        </is>
      </c>
      <c r="C4" s="19" t="inlineStr">
        <is>
          <t>Biotech</t>
        </is>
      </c>
      <c r="D4" s="80" t="n">
        <v>17</v>
      </c>
      <c r="E4" s="81" t="inlineStr">
        <is>
          <t>N/A</t>
        </is>
      </c>
      <c r="F4" s="81" t="n">
        <v>1</v>
      </c>
      <c r="G4" s="81" t="n">
        <v>0</v>
      </c>
      <c r="H4" s="82" t="n"/>
      <c r="I4" s="83" t="n">
        <v>0</v>
      </c>
      <c r="J4" s="84" t="n">
        <v>0</v>
      </c>
      <c r="K4" s="85" t="n">
        <v>0</v>
      </c>
      <c r="L4" s="26" t="n"/>
      <c r="M4" s="86" t="n"/>
      <c r="N4" s="86" t="n"/>
    </row>
    <row r="5" ht="15.6" customFormat="1" customHeight="1" s="28">
      <c r="A5" s="1" t="n"/>
      <c r="B5" s="87" t="n"/>
      <c r="C5" s="29" t="inlineStr">
        <is>
          <t>Breeding</t>
        </is>
      </c>
      <c r="D5" s="80" t="n">
        <v>23</v>
      </c>
      <c r="E5" s="81" t="inlineStr">
        <is>
          <t>N/A</t>
        </is>
      </c>
      <c r="F5" s="81" t="n">
        <v>0</v>
      </c>
      <c r="G5" s="81" t="n">
        <v>3</v>
      </c>
      <c r="H5" s="82" t="n"/>
      <c r="I5" s="88" t="n">
        <v>0.05555555555555555</v>
      </c>
      <c r="J5" s="81" t="n">
        <v>0.02777777777777778</v>
      </c>
      <c r="K5" s="85" t="n">
        <v>0.05555555555555555</v>
      </c>
      <c r="L5" s="26" t="n"/>
      <c r="M5" s="86" t="n"/>
      <c r="N5" s="86" t="n"/>
    </row>
    <row r="6" ht="15.6" customFormat="1" customHeight="1" s="28">
      <c r="A6" s="1" t="n"/>
      <c r="B6" s="87" t="n"/>
      <c r="C6" s="29" t="inlineStr">
        <is>
          <t>Genebanks</t>
        </is>
      </c>
      <c r="D6" s="80" t="n">
        <v>19</v>
      </c>
      <c r="E6" s="81" t="inlineStr">
        <is>
          <t>N/A</t>
        </is>
      </c>
      <c r="F6" s="81" t="n">
        <v>0</v>
      </c>
      <c r="G6" s="81" t="n">
        <v>1</v>
      </c>
      <c r="H6" s="82" t="n"/>
      <c r="I6" s="88" t="n">
        <v>0</v>
      </c>
      <c r="J6" s="81" t="n">
        <v>0</v>
      </c>
      <c r="K6" s="82" t="n">
        <v>0</v>
      </c>
      <c r="L6" s="26" t="n"/>
      <c r="M6" s="86" t="n"/>
      <c r="N6" s="86" t="n"/>
    </row>
    <row r="7" ht="15.6" customFormat="1" customHeight="1" s="28" thickBot="1">
      <c r="A7" s="1" t="n"/>
      <c r="B7" s="89" t="n"/>
      <c r="C7" s="31" t="inlineStr">
        <is>
          <t>Seed System</t>
        </is>
      </c>
      <c r="D7" s="80" t="n">
        <v>0</v>
      </c>
      <c r="E7" s="81" t="n">
        <v>14</v>
      </c>
      <c r="F7" s="81" t="n">
        <v>3</v>
      </c>
      <c r="G7" s="81" t="n">
        <v>0</v>
      </c>
      <c r="H7" s="82" t="n"/>
      <c r="I7" s="90" t="n">
        <v>0.08333333333333333</v>
      </c>
      <c r="J7" s="91">
        <f>2/36</f>
        <v/>
      </c>
      <c r="K7" s="92" t="n">
        <v>0.02777777777777778</v>
      </c>
      <c r="L7" s="26" t="n"/>
      <c r="M7" s="86" t="n"/>
      <c r="N7" s="86" t="n"/>
    </row>
    <row r="8" ht="15.6" customFormat="1" customHeight="1" s="28">
      <c r="A8" s="1" t="n"/>
      <c r="B8" s="59" t="inlineStr">
        <is>
          <t>RAFS</t>
        </is>
      </c>
      <c r="C8" s="19" t="inlineStr">
        <is>
          <t>Plant Health</t>
        </is>
      </c>
      <c r="D8" s="80" t="n">
        <v>18</v>
      </c>
      <c r="E8" s="81" t="n">
        <v>1</v>
      </c>
      <c r="F8" s="81" t="n">
        <v>3</v>
      </c>
      <c r="G8" s="81" t="n">
        <v>5</v>
      </c>
      <c r="H8" s="82" t="n"/>
      <c r="I8" s="83" t="n">
        <v>0.02777777777777778</v>
      </c>
      <c r="J8" s="84" t="n">
        <v>0.02777777777777778</v>
      </c>
      <c r="K8" s="85" t="n">
        <v>0</v>
      </c>
      <c r="L8" s="26" t="n"/>
      <c r="M8" s="86" t="n"/>
      <c r="N8" s="86" t="n"/>
    </row>
    <row r="9" ht="15.6" customFormat="1" customHeight="1" s="28" thickBot="1">
      <c r="A9" s="1" t="n"/>
      <c r="B9" s="87" t="n"/>
      <c r="C9" s="29" t="inlineStr">
        <is>
          <t>Farming Systems Agronomy</t>
        </is>
      </c>
      <c r="D9" s="80" t="n">
        <v>43</v>
      </c>
      <c r="E9" s="81" t="n">
        <v>17</v>
      </c>
      <c r="F9" s="81" t="n">
        <v>0</v>
      </c>
      <c r="G9" s="81" t="n">
        <v>3</v>
      </c>
      <c r="H9" s="82" t="n"/>
      <c r="I9" s="88" t="n">
        <v>0.1111111111111111</v>
      </c>
      <c r="J9" s="81" t="n">
        <v>0.1111111111111111</v>
      </c>
      <c r="K9" s="92" t="n">
        <v>0.02777777777777778</v>
      </c>
      <c r="L9" s="26" t="n"/>
      <c r="M9" s="86" t="n"/>
      <c r="N9" s="86" t="n"/>
    </row>
    <row r="10" ht="15.6" customFormat="1" customHeight="1" s="28">
      <c r="A10" s="1" t="n"/>
      <c r="B10" s="87" t="n"/>
      <c r="C10" s="29" t="inlineStr">
        <is>
          <t>NRM</t>
        </is>
      </c>
      <c r="D10" s="80" t="n">
        <v>0</v>
      </c>
      <c r="E10" s="81" t="n">
        <v>3</v>
      </c>
      <c r="F10" s="81" t="n">
        <v>0</v>
      </c>
      <c r="G10" s="81" t="n">
        <v>0</v>
      </c>
      <c r="H10" s="82" t="n"/>
      <c r="I10" s="88" t="n">
        <v>0.1111111111111111</v>
      </c>
      <c r="J10" s="81" t="n">
        <v>0.1388888888888889</v>
      </c>
      <c r="K10" s="82" t="n">
        <v>0</v>
      </c>
      <c r="L10" s="26" t="n"/>
      <c r="M10" s="86" t="n"/>
      <c r="N10" s="86" t="n"/>
    </row>
    <row r="11" ht="15.6" customFormat="1" customHeight="1" s="28" thickBot="1">
      <c r="A11" s="1" t="n"/>
      <c r="B11" s="89" t="n"/>
      <c r="C11" s="31" t="inlineStr">
        <is>
          <t>Mechanization</t>
        </is>
      </c>
      <c r="D11" s="80" t="n">
        <v>0</v>
      </c>
      <c r="E11" s="81" t="n">
        <v>0</v>
      </c>
      <c r="F11" s="81" t="n">
        <v>0</v>
      </c>
      <c r="G11" s="81" t="n">
        <v>0</v>
      </c>
      <c r="H11" s="82" t="n"/>
      <c r="I11" s="90" t="n">
        <v>0</v>
      </c>
      <c r="J11" s="91" t="n">
        <v>0</v>
      </c>
      <c r="K11" s="92" t="n">
        <v>0</v>
      </c>
      <c r="L11" s="26" t="n"/>
      <c r="M11" s="86" t="n"/>
      <c r="N11" s="86" t="n"/>
    </row>
    <row r="12" ht="15.6" customFormat="1" customHeight="1" s="28">
      <c r="A12" s="1" t="n"/>
      <c r="B12" s="93" t="inlineStr">
        <is>
          <t>ST</t>
        </is>
      </c>
      <c r="C12" s="19" t="inlineStr">
        <is>
          <t>FIAS</t>
        </is>
      </c>
      <c r="D12" s="80" t="n">
        <v>7</v>
      </c>
      <c r="E12" s="94" t="n">
        <v>0</v>
      </c>
      <c r="F12" s="94" t="n">
        <v>0</v>
      </c>
      <c r="G12" s="81" t="n">
        <v>0</v>
      </c>
      <c r="H12" s="82" t="n"/>
      <c r="I12" s="83" t="n">
        <v>0</v>
      </c>
      <c r="J12" s="84" t="n">
        <v>0</v>
      </c>
      <c r="K12" s="85" t="n">
        <v>0</v>
      </c>
      <c r="L12" s="26" t="n"/>
      <c r="M12" s="86" t="n"/>
      <c r="N12" s="86" t="n"/>
    </row>
    <row r="13" ht="15.6" customFormat="1" customHeight="1" s="28">
      <c r="A13" s="1" t="n"/>
      <c r="B13" s="87" t="n"/>
      <c r="C13" s="29" t="inlineStr">
        <is>
          <t>GeYSI</t>
        </is>
      </c>
      <c r="D13" s="80" t="n">
        <v>0</v>
      </c>
      <c r="E13" s="94" t="n">
        <v>0</v>
      </c>
      <c r="F13" s="94" t="n">
        <v>0</v>
      </c>
      <c r="G13" s="81" t="n">
        <v>3</v>
      </c>
      <c r="H13" s="82" t="n"/>
      <c r="I13" s="88" t="n">
        <v>0</v>
      </c>
      <c r="J13" s="81" t="n">
        <v>0</v>
      </c>
      <c r="K13" s="82" t="n">
        <v>0</v>
      </c>
      <c r="L13" s="26" t="n"/>
      <c r="M13" s="86" t="n"/>
      <c r="N13" s="86" t="n"/>
    </row>
    <row r="14" ht="15.6" customFormat="1" customHeight="1" s="28">
      <c r="A14" s="1" t="n"/>
      <c r="B14" s="87" t="n"/>
      <c r="C14" s="29" t="inlineStr">
        <is>
          <t>RCA</t>
        </is>
      </c>
      <c r="D14" s="80" t="n">
        <v>6</v>
      </c>
      <c r="E14" s="94" t="n">
        <v>3</v>
      </c>
      <c r="F14" s="94" t="n">
        <v>0</v>
      </c>
      <c r="G14" s="81" t="n">
        <v>3</v>
      </c>
      <c r="H14" s="82" t="n"/>
      <c r="I14" s="88" t="n">
        <v>0</v>
      </c>
      <c r="J14" s="81" t="n">
        <v>0</v>
      </c>
      <c r="K14" s="82" t="n">
        <v>0</v>
      </c>
      <c r="L14" s="26" t="n"/>
      <c r="M14" s="86" t="n"/>
      <c r="N14" s="86" t="n"/>
    </row>
    <row r="15" ht="15.6" customFormat="1" customHeight="1" s="28">
      <c r="A15" s="1" t="n"/>
      <c r="B15" s="87" t="n"/>
      <c r="C15" s="29" t="inlineStr">
        <is>
          <t>Nutrition</t>
        </is>
      </c>
      <c r="D15" s="80" t="n">
        <v>7</v>
      </c>
      <c r="E15" s="94" t="n">
        <v>0</v>
      </c>
      <c r="F15" s="94" t="n">
        <v>0</v>
      </c>
      <c r="G15" s="81" t="n">
        <v>0</v>
      </c>
      <c r="H15" s="82" t="n"/>
      <c r="I15" s="88" t="n">
        <v>0</v>
      </c>
      <c r="J15" s="81" t="n">
        <v>0</v>
      </c>
      <c r="K15" s="82" t="n">
        <v>0</v>
      </c>
      <c r="L15" s="26" t="n"/>
      <c r="M15" s="86" t="n"/>
      <c r="N15" s="86" t="n"/>
    </row>
    <row r="16" ht="15.45" customFormat="1" customHeight="1" s="28" thickBot="1">
      <c r="A16" s="1" t="n"/>
      <c r="B16" s="95" t="n"/>
      <c r="C16" s="31" t="inlineStr">
        <is>
          <t>VCMA</t>
        </is>
      </c>
      <c r="D16" s="96" t="n">
        <v>0</v>
      </c>
      <c r="E16" s="97" t="n">
        <v>0</v>
      </c>
      <c r="F16" s="97" t="n">
        <v>1</v>
      </c>
      <c r="G16" s="91" t="n">
        <v>0</v>
      </c>
      <c r="H16" s="92" t="n"/>
      <c r="I16" s="90" t="n">
        <v>0.02777777777777778</v>
      </c>
      <c r="J16" s="91" t="n">
        <v>0</v>
      </c>
      <c r="K16" s="92" t="n">
        <v>0</v>
      </c>
      <c r="L16" s="26" t="n"/>
      <c r="M16" s="86" t="n"/>
      <c r="N16" s="86" t="n"/>
    </row>
    <row r="17" ht="12" customFormat="1" customHeight="1" s="98">
      <c r="A17" s="39" t="n"/>
      <c r="B17" s="39" t="n"/>
      <c r="C17" s="40" t="inlineStr">
        <is>
          <t>2025 Actual Values</t>
        </is>
      </c>
      <c r="D17" s="99">
        <f>SUM(D4:D16)</f>
        <v/>
      </c>
      <c r="E17" s="99">
        <f>SUM(E4:E16)</f>
        <v/>
      </c>
      <c r="F17" s="99">
        <f>SUM(F4:F16)</f>
        <v/>
      </c>
      <c r="G17" s="99">
        <f>SUM(G4:G16)</f>
        <v/>
      </c>
      <c r="H17" s="99" t="n">
        <v>30</v>
      </c>
      <c r="I17" s="43">
        <f>SUM(I4:I16)</f>
        <v/>
      </c>
      <c r="J17" s="43">
        <f>SUM(J4:J16)</f>
        <v/>
      </c>
      <c r="K17" s="43">
        <f>SUM(K4:K16)</f>
        <v/>
      </c>
      <c r="L17" s="100" t="n"/>
    </row>
    <row r="18" customFormat="1" s="52">
      <c r="A18" s="46" t="n"/>
      <c r="B18" s="46" t="n"/>
      <c r="C18" s="47" t="inlineStr">
        <is>
          <t>Annual Target</t>
        </is>
      </c>
      <c r="D18" s="101" t="n">
        <v>30</v>
      </c>
      <c r="E18" s="47" t="n">
        <v>25</v>
      </c>
      <c r="F18" s="101" t="n">
        <v>30</v>
      </c>
      <c r="G18" s="101" t="n">
        <v>30</v>
      </c>
      <c r="H18" s="47" t="n">
        <v>15</v>
      </c>
      <c r="I18" s="49" t="n">
        <v>0.25</v>
      </c>
      <c r="J18" s="49" t="n">
        <v>0.25</v>
      </c>
      <c r="K18" s="49" t="n">
        <v>0.25</v>
      </c>
      <c r="L18" s="50" t="n"/>
      <c r="M18" s="102" t="n"/>
      <c r="N18" s="102" t="n"/>
    </row>
    <row r="19" ht="13.2" customFormat="1" customHeight="1" s="52">
      <c r="A19" s="46" t="n"/>
      <c r="B19" s="46" t="n"/>
      <c r="C19" s="47" t="inlineStr">
        <is>
          <t xml:space="preserve">per Program Target </t>
        </is>
      </c>
      <c r="D19" s="53">
        <f>D18/13</f>
        <v/>
      </c>
      <c r="E19" s="53">
        <f>E18/13</f>
        <v/>
      </c>
      <c r="F19" s="53">
        <f>F18/13</f>
        <v/>
      </c>
      <c r="G19" s="53">
        <f>G18/13</f>
        <v/>
      </c>
      <c r="H19" s="53" t="inlineStr">
        <is>
          <t>N/A</t>
        </is>
      </c>
      <c r="I19" s="49" t="n">
        <v>0.25</v>
      </c>
      <c r="J19" s="49" t="n">
        <v>0.25</v>
      </c>
      <c r="K19" s="49" t="n">
        <v>0.25</v>
      </c>
      <c r="L19" s="50" t="n"/>
      <c r="M19" s="102" t="n"/>
      <c r="N19" s="102" t="n"/>
      <c r="O19" s="102" t="n"/>
      <c r="P19" s="102" t="n"/>
      <c r="Q19" s="102" t="n"/>
      <c r="R19" s="102" t="n"/>
      <c r="S19" s="102" t="n"/>
      <c r="T19" s="102" t="n"/>
      <c r="U19" s="102" t="n"/>
      <c r="V19" s="102" t="n"/>
      <c r="W19" s="102" t="n"/>
      <c r="X19" s="102" t="n"/>
      <c r="Y19" s="102" t="n"/>
      <c r="Z19" s="102" t="n"/>
      <c r="AA19" s="102" t="n"/>
      <c r="AB19" s="102" t="n"/>
    </row>
  </sheetData>
  <mergeCells count="6">
    <mergeCell ref="C1:K1"/>
    <mergeCell ref="I2:K2"/>
    <mergeCell ref="B8:B11"/>
    <mergeCell ref="D2:H2"/>
    <mergeCell ref="B4:B7"/>
    <mergeCell ref="B12:B16"/>
  </mergeCells>
  <conditionalFormatting sqref="D4:D16">
    <cfRule type="colorScale" priority="40">
      <colorScale>
        <cfvo type="min"/>
        <cfvo type="formula" val="$D$19/2"/>
        <cfvo type="formula" val="$D$19"/>
        <color rgb="FFFF0000"/>
        <color rgb="FFFFFF00"/>
        <color rgb="FF00B050"/>
      </colorScale>
    </cfRule>
    <cfRule type="colorScale" priority="41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16">
    <cfRule type="colorScale" priority="43">
      <colorScale>
        <cfvo type="min"/>
        <cfvo type="formula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44">
      <colorScale>
        <cfvo type="min"/>
        <cfvo type="formula" val="$F$19/2"/>
        <cfvo type="formula" val="$F$19"/>
        <color rgb="FFFF0000"/>
        <color rgb="FFFFFF00"/>
        <color rgb="FF00B050"/>
      </colorScale>
    </cfRule>
  </conditionalFormatting>
  <conditionalFormatting sqref="G4:G16">
    <cfRule type="colorScale" priority="45">
      <colorScale>
        <cfvo type="min"/>
        <cfvo type="formula" val="$G$19/2"/>
        <cfvo type="formula" val="$G$19"/>
        <color rgb="FFFF0000"/>
        <color rgb="FFFFFF00"/>
        <color rgb="FF00B050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47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48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4:K16">
    <cfRule type="colorScale" priority="49">
      <colorScale>
        <cfvo type="min"/>
        <cfvo type="formula" val="$K$19/2"/>
        <cfvo type="formula" val="$K$19"/>
        <color rgb="FFFF0000"/>
        <color rgb="FFFFFF00"/>
        <color rgb="FF00B050"/>
      </colorScale>
    </cfRule>
  </conditionalFormatting>
  <pageMargins left="0.7" right="0.7" top="0.75" bottom="0.75" header="0.3" footer="0.3"/>
  <pageSetup orientation="landscape" paperSize="8" scale="8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Lewis, Sabra (IITA)</dc:creator>
  <dcterms:created xsi:type="dcterms:W3CDTF">2026-04-08T13:56:26Z</dcterms:created>
  <dcterms:modified xsi:type="dcterms:W3CDTF">2026-04-09T14:09:13Z</dcterms:modified>
  <cp:lastModifiedBy>Devari, Aalakh (SI EA R&amp;D AU SDA)</cp:lastModifiedBy>
</cp:coreProperties>
</file>