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1" documentId="8_{AADF56B8-5A12-4A25-A488-C45AD05B2A19}" xr6:coauthVersionLast="47" xr6:coauthVersionMax="47" xr10:uidLastSave="{2E619995-E4CE-4D88-95B5-B9B6A3C431FE}"/>
  <bookViews>
    <workbookView xWindow="28680" yWindow="-120" windowWidth="29040" windowHeight="15720" xr2:uid="{9DC939E2-9D2B-49F9-96FE-7432C9E71486}"/>
  </bookViews>
  <sheets>
    <sheet name="Reputation, Society" sheetId="1" r:id="rId1"/>
  </sheets>
  <definedNames>
    <definedName name="_Hlk200085589" localSheetId="0">'Reputation, Society'!#REF!</definedName>
    <definedName name="_xlnm.Print_Area" localSheetId="0">'Reputation, Society'!$B$1:$L$19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1" l="1"/>
  <c r="F19" i="1"/>
  <c r="E19" i="1"/>
  <c r="D19" i="1"/>
  <c r="K17" i="1"/>
  <c r="I17" i="1"/>
  <c r="G17" i="1"/>
  <c r="F17" i="1"/>
  <c r="E17" i="1"/>
  <c r="D17" i="1"/>
  <c r="J7" i="1"/>
  <c r="J17" i="1" s="1"/>
</calcChain>
</file>

<file path=xl/sharedStrings.xml><?xml version="1.0" encoding="utf-8"?>
<sst xmlns="http://schemas.openxmlformats.org/spreadsheetml/2006/main" count="38" uniqueCount="35">
  <si>
    <t>KPI by Nr.</t>
  </si>
  <si>
    <t>Recognition and Reputation</t>
  </si>
  <si>
    <t>Society Impact &amp; Inclusion</t>
  </si>
  <si>
    <t>Number of ARIs with whom IITA is collaborating</t>
  </si>
  <si>
    <t>Number of active collaborations with scaling partners</t>
  </si>
  <si>
    <t>Number of awards granted to IITA staff/project teams</t>
  </si>
  <si>
    <t>Number of invitations to IITA staff to give seminars, as guest speakers etc.</t>
  </si>
  <si>
    <t>Number of direct engagements  with senior policymakers to provide strategic advice, influence reforms, or shape national strategies.</t>
  </si>
  <si>
    <t>Approved proposals with gender/youth/social inclusion components (target is 25% of total approved proposals)</t>
  </si>
  <si>
    <t>Approved proposals with inclusion of adaptation/ mitigation activities  (target is 25% of total approved proposals)</t>
  </si>
  <si>
    <t>Approved proposals with inclusion of nutrition and health activities (target is 25% of total approved proposals)</t>
  </si>
  <si>
    <t>GI</t>
  </si>
  <si>
    <t>Biotech</t>
  </si>
  <si>
    <t>N/A</t>
  </si>
  <si>
    <t>Breeding</t>
  </si>
  <si>
    <t>Genebanks</t>
  </si>
  <si>
    <t>Seed System</t>
  </si>
  <si>
    <t>RAFS</t>
  </si>
  <si>
    <t>Plant Health</t>
  </si>
  <si>
    <t>Farming Systems Agronomy</t>
  </si>
  <si>
    <t>NRM</t>
  </si>
  <si>
    <t>Mechanization</t>
  </si>
  <si>
    <t>ST</t>
  </si>
  <si>
    <t>FIAS</t>
  </si>
  <si>
    <t>GeYSI</t>
  </si>
  <si>
    <t>RCA</t>
  </si>
  <si>
    <t>Nutrition</t>
  </si>
  <si>
    <t>VCMA</t>
  </si>
  <si>
    <t>2025 Actual Values</t>
  </si>
  <si>
    <t>Annual Target</t>
  </si>
  <si>
    <t xml:space="preserve">per Program Target </t>
  </si>
  <si>
    <t>Comments</t>
  </si>
  <si>
    <t>The data on partners are not correct at all, Sabra!!! We can only present correctc information!</t>
  </si>
  <si>
    <t>For columns E, G, how can a value be 2.5??? This does not make sense really</t>
  </si>
  <si>
    <t>It is also critical to complete the missing information in columns F and 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</si>
</sst>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0.0"/>
    <numFmt numFmtId="166" formatCode="_(* #,##0_);_(* \(#,##0\);_(* &quot;-&quot;??_);_(@_)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b/>
      <sz val="9"/>
      <color rgb="FF0070C0"/>
      <name val="Calibri"/>
      <family val="2"/>
    </font>
    <font>
      <b/>
      <sz val="9"/>
      <color rgb="FF00B0F0"/>
      <name val="Calibri"/>
      <family val="2"/>
    </font>
    <font>
      <b/>
      <sz val="9"/>
      <color rgb="FFFF0000"/>
      <name val="Calibri"/>
      <family val="2"/>
    </font>
    <font>
      <sz val="10"/>
      <color theme="1"/>
      <name val="Calibri"/>
      <family val="2"/>
    </font>
    <font>
      <sz val="9"/>
      <color rgb="FF000000"/>
      <name val="Calibri"/>
      <family val="2"/>
    </font>
    <font>
      <sz val="9"/>
      <color rgb="FFFF0000"/>
      <name val="Calibri"/>
      <family val="2"/>
    </font>
    <font>
      <sz val="8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rgb="FF00B050"/>
      <name val="Calibri"/>
      <family val="2"/>
    </font>
    <font>
      <b/>
      <sz val="9"/>
      <color rgb="FF00B050"/>
      <name val="Aptos Narrow"/>
      <family val="2"/>
      <scheme val="minor"/>
    </font>
    <font>
      <b/>
      <sz val="9"/>
      <color rgb="FF0070C0"/>
      <name val="Aptos Narrow"/>
      <family val="2"/>
      <scheme val="minor"/>
    </font>
    <font>
      <b/>
      <sz val="11"/>
      <color rgb="FF0070C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rgb="FF00B050"/>
      </bottom>
      <diagonal/>
    </border>
    <border>
      <left style="medium">
        <color theme="1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rgb="FF00B050"/>
      </top>
      <bottom style="thin">
        <color rgb="FF00B050"/>
      </bottom>
      <diagonal/>
    </border>
    <border>
      <left style="medium">
        <color theme="1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rgb="FF00B050"/>
      </top>
      <bottom style="medium">
        <color indexed="64"/>
      </bottom>
      <diagonal/>
    </border>
    <border>
      <left style="medium">
        <color theme="1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6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165" fontId="0" fillId="0" borderId="0" xfId="0" applyNumberFormat="1"/>
    <xf numFmtId="0" fontId="2" fillId="0" borderId="0" xfId="0" applyFont="1" applyAlignment="1">
      <alignment vertical="top"/>
    </xf>
    <xf numFmtId="0" fontId="4" fillId="2" borderId="5" xfId="0" applyFont="1" applyFill="1" applyBorder="1" applyAlignment="1">
      <alignment horizontal="center" vertical="top"/>
    </xf>
    <xf numFmtId="0" fontId="2" fillId="0" borderId="0" xfId="0" applyFont="1" applyAlignment="1">
      <alignment horizontal="center" vertical="top"/>
    </xf>
    <xf numFmtId="165" fontId="6" fillId="0" borderId="0" xfId="0" applyNumberFormat="1" applyFont="1" applyAlignment="1">
      <alignment vertical="top"/>
    </xf>
    <xf numFmtId="0" fontId="6" fillId="0" borderId="0" xfId="0" applyFont="1" applyAlignment="1">
      <alignment vertical="top"/>
    </xf>
    <xf numFmtId="0" fontId="2" fillId="0" borderId="5" xfId="0" applyFont="1" applyBorder="1" applyAlignment="1">
      <alignment horizontal="left" vertical="top"/>
    </xf>
    <xf numFmtId="0" fontId="7" fillId="0" borderId="11" xfId="0" applyFont="1" applyBorder="1" applyAlignment="1">
      <alignment horizontal="left" textRotation="90" wrapText="1" readingOrder="1"/>
    </xf>
    <xf numFmtId="0" fontId="7" fillId="0" borderId="12" xfId="0" applyFont="1" applyBorder="1" applyAlignment="1">
      <alignment horizontal="left" textRotation="90" wrapText="1" readingOrder="1"/>
    </xf>
    <xf numFmtId="0" fontId="7" fillId="0" borderId="13" xfId="0" applyFont="1" applyBorder="1" applyAlignment="1">
      <alignment horizontal="left" textRotation="90" wrapText="1" readingOrder="1"/>
    </xf>
    <xf numFmtId="0" fontId="7" fillId="0" borderId="9" xfId="0" applyFont="1" applyBorder="1" applyAlignment="1">
      <alignment horizontal="left" textRotation="90" wrapText="1" readingOrder="1"/>
    </xf>
    <xf numFmtId="0" fontId="7" fillId="0" borderId="3" xfId="0" applyFont="1" applyBorder="1" applyAlignment="1">
      <alignment horizontal="left" textRotation="90" wrapText="1" readingOrder="1"/>
    </xf>
    <xf numFmtId="0" fontId="7" fillId="0" borderId="4" xfId="0" applyFont="1" applyBorder="1" applyAlignment="1">
      <alignment horizontal="left" textRotation="90" wrapText="1" readingOrder="1"/>
    </xf>
    <xf numFmtId="0" fontId="7" fillId="0" borderId="0" xfId="0" applyFont="1" applyAlignment="1">
      <alignment horizontal="center" textRotation="90" wrapText="1" readingOrder="1"/>
    </xf>
    <xf numFmtId="165" fontId="9" fillId="0" borderId="0" xfId="0" applyNumberFormat="1" applyFont="1"/>
    <xf numFmtId="0" fontId="9" fillId="0" borderId="0" xfId="0" applyFont="1"/>
    <xf numFmtId="0" fontId="7" fillId="0" borderId="15" xfId="0" applyFont="1" applyBorder="1" applyAlignment="1">
      <alignment horizontal="left" vertical="center" wrapText="1"/>
    </xf>
    <xf numFmtId="165" fontId="2" fillId="0" borderId="11" xfId="1" applyNumberFormat="1" applyFont="1" applyBorder="1" applyAlignment="1">
      <alignment horizontal="center" vertical="center"/>
    </xf>
    <xf numFmtId="165" fontId="2" fillId="0" borderId="12" xfId="1" applyNumberFormat="1" applyFont="1" applyBorder="1" applyAlignment="1">
      <alignment horizontal="center" vertical="center"/>
    </xf>
    <xf numFmtId="165" fontId="2" fillId="0" borderId="13" xfId="1" applyNumberFormat="1" applyFont="1" applyBorder="1" applyAlignment="1">
      <alignment horizontal="center" vertical="center"/>
    </xf>
    <xf numFmtId="165" fontId="2" fillId="0" borderId="16" xfId="1" applyNumberFormat="1" applyFont="1" applyBorder="1" applyAlignment="1">
      <alignment horizontal="center" vertical="center"/>
    </xf>
    <xf numFmtId="165" fontId="2" fillId="0" borderId="7" xfId="1" applyNumberFormat="1" applyFont="1" applyBorder="1" applyAlignment="1">
      <alignment horizontal="center" vertical="center"/>
    </xf>
    <xf numFmtId="165" fontId="2" fillId="0" borderId="8" xfId="1" applyNumberFormat="1" applyFont="1" applyBorder="1" applyAlignment="1">
      <alignment horizontal="center" vertical="center"/>
    </xf>
    <xf numFmtId="0" fontId="2" fillId="0" borderId="0" xfId="0" applyFont="1" applyAlignment="1">
      <alignment horizontal="right"/>
    </xf>
    <xf numFmtId="165" fontId="10" fillId="0" borderId="0" xfId="0" applyNumberFormat="1" applyFont="1"/>
    <xf numFmtId="0" fontId="10" fillId="0" borderId="0" xfId="0" applyFont="1"/>
    <xf numFmtId="0" fontId="7" fillId="0" borderId="18" xfId="0" applyFont="1" applyBorder="1" applyAlignment="1">
      <alignment horizontal="left" vertical="center" wrapText="1"/>
    </xf>
    <xf numFmtId="165" fontId="2" fillId="0" borderId="19" xfId="1" applyNumberFormat="1" applyFont="1" applyBorder="1" applyAlignment="1">
      <alignment horizontal="center" vertical="center"/>
    </xf>
    <xf numFmtId="0" fontId="7" fillId="0" borderId="21" xfId="0" applyFont="1" applyBorder="1" applyAlignment="1">
      <alignment horizontal="left" vertical="center" wrapText="1"/>
    </xf>
    <xf numFmtId="165" fontId="2" fillId="0" borderId="22" xfId="1" applyNumberFormat="1" applyFont="1" applyBorder="1" applyAlignment="1">
      <alignment horizontal="center" vertical="center"/>
    </xf>
    <xf numFmtId="165" fontId="2" fillId="0" borderId="23" xfId="1" applyNumberFormat="1" applyFont="1" applyBorder="1" applyAlignment="1">
      <alignment horizontal="center" vertical="center"/>
    </xf>
    <xf numFmtId="165" fontId="2" fillId="0" borderId="24" xfId="1" applyNumberFormat="1" applyFont="1" applyBorder="1" applyAlignment="1">
      <alignment horizontal="center" vertical="center"/>
    </xf>
    <xf numFmtId="165" fontId="2" fillId="2" borderId="12" xfId="1" applyNumberFormat="1" applyFont="1" applyFill="1" applyBorder="1" applyAlignment="1">
      <alignment horizontal="center" vertical="center"/>
    </xf>
    <xf numFmtId="165" fontId="2" fillId="0" borderId="28" xfId="1" applyNumberFormat="1" applyFont="1" applyBorder="1" applyAlignment="1">
      <alignment horizontal="center" vertical="center"/>
    </xf>
    <xf numFmtId="165" fontId="2" fillId="2" borderId="23" xfId="1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left"/>
    </xf>
    <xf numFmtId="0" fontId="11" fillId="0" borderId="0" xfId="0" applyFont="1"/>
    <xf numFmtId="0" fontId="11" fillId="0" borderId="0" xfId="0" applyFont="1" applyAlignment="1">
      <alignment horizontal="right"/>
    </xf>
    <xf numFmtId="166" fontId="11" fillId="0" borderId="0" xfId="1" applyNumberFormat="1" applyFont="1" applyAlignment="1">
      <alignment horizontal="right"/>
    </xf>
    <xf numFmtId="166" fontId="11" fillId="0" borderId="0" xfId="1" applyNumberFormat="1" applyFont="1" applyFill="1" applyAlignment="1">
      <alignment horizontal="right"/>
    </xf>
    <xf numFmtId="9" fontId="11" fillId="0" borderId="0" xfId="2" applyFont="1" applyAlignment="1">
      <alignment horizontal="right"/>
    </xf>
    <xf numFmtId="166" fontId="11" fillId="0" borderId="0" xfId="1" applyNumberFormat="1" applyFont="1" applyAlignment="1">
      <alignment horizontal="center"/>
    </xf>
    <xf numFmtId="165" fontId="12" fillId="0" borderId="0" xfId="0" applyNumberFormat="1" applyFont="1"/>
    <xf numFmtId="0" fontId="13" fillId="0" borderId="0" xfId="0" applyFont="1"/>
    <xf numFmtId="0" fontId="3" fillId="0" borderId="0" xfId="0" applyFont="1" applyAlignment="1">
      <alignment horizontal="right"/>
    </xf>
    <xf numFmtId="166" fontId="3" fillId="0" borderId="0" xfId="1" applyNumberFormat="1" applyFont="1" applyAlignment="1">
      <alignment horizontal="right"/>
    </xf>
    <xf numFmtId="9" fontId="3" fillId="0" borderId="0" xfId="2" applyFont="1" applyAlignment="1">
      <alignment horizontal="right"/>
    </xf>
    <xf numFmtId="0" fontId="3" fillId="0" borderId="0" xfId="0" applyFont="1" applyAlignment="1">
      <alignment horizontal="center"/>
    </xf>
    <xf numFmtId="165" fontId="14" fillId="0" borderId="0" xfId="0" applyNumberFormat="1" applyFont="1"/>
    <xf numFmtId="0" fontId="14" fillId="0" borderId="0" xfId="0" applyFont="1"/>
    <xf numFmtId="2" fontId="3" fillId="0" borderId="0" xfId="0" applyNumberFormat="1" applyFont="1" applyAlignment="1">
      <alignment horizontal="right"/>
    </xf>
    <xf numFmtId="0" fontId="5" fillId="0" borderId="0" xfId="0" applyFont="1" applyAlignment="1">
      <alignment horizontal="left"/>
    </xf>
    <xf numFmtId="166" fontId="8" fillId="0" borderId="0" xfId="1" applyNumberFormat="1" applyFont="1" applyAlignment="1"/>
    <xf numFmtId="9" fontId="8" fillId="0" borderId="0" xfId="2" applyFont="1" applyAlignment="1">
      <alignment horizontal="center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left"/>
    </xf>
    <xf numFmtId="166" fontId="2" fillId="0" borderId="0" xfId="1" applyNumberFormat="1" applyFont="1" applyAlignment="1"/>
    <xf numFmtId="9" fontId="2" fillId="0" borderId="0" xfId="2" applyFont="1" applyAlignment="1">
      <alignment horizontal="center"/>
    </xf>
    <xf numFmtId="0" fontId="3" fillId="2" borderId="25" xfId="0" applyFont="1" applyFill="1" applyBorder="1" applyAlignment="1">
      <alignment horizontal="center" vertical="center" textRotation="90"/>
    </xf>
    <xf numFmtId="0" fontId="3" fillId="2" borderId="26" xfId="0" applyFont="1" applyFill="1" applyBorder="1" applyAlignment="1">
      <alignment horizontal="center" vertical="center" textRotation="90"/>
    </xf>
    <xf numFmtId="0" fontId="3" fillId="2" borderId="27" xfId="0" applyFont="1" applyFill="1" applyBorder="1" applyAlignment="1">
      <alignment horizontal="center" vertical="center" textRotation="90"/>
    </xf>
    <xf numFmtId="0" fontId="3" fillId="2" borderId="14" xfId="0" applyFont="1" applyFill="1" applyBorder="1" applyAlignment="1">
      <alignment horizontal="center" vertical="center" textRotation="90"/>
    </xf>
    <xf numFmtId="0" fontId="3" fillId="2" borderId="17" xfId="0" applyFont="1" applyFill="1" applyBorder="1" applyAlignment="1">
      <alignment horizontal="center" vertical="center" textRotation="90"/>
    </xf>
    <xf numFmtId="0" fontId="3" fillId="2" borderId="20" xfId="0" applyFont="1" applyFill="1" applyBorder="1" applyAlignment="1">
      <alignment horizontal="center" vertical="center" textRotation="90"/>
    </xf>
    <xf numFmtId="0" fontId="3" fillId="2" borderId="1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 vertical="top" wrapText="1"/>
    </xf>
    <xf numFmtId="0" fontId="3" fillId="2" borderId="7" xfId="0" applyFont="1" applyFill="1" applyBorder="1" applyAlignment="1">
      <alignment horizontal="center" vertical="top" wrapText="1"/>
    </xf>
    <xf numFmtId="0" fontId="3" fillId="2" borderId="8" xfId="0" applyFont="1" applyFill="1" applyBorder="1" applyAlignment="1">
      <alignment horizontal="center" vertical="top" wrapText="1"/>
    </xf>
    <xf numFmtId="0" fontId="3" fillId="2" borderId="9" xfId="0" applyFont="1" applyFill="1" applyBorder="1" applyAlignment="1">
      <alignment horizontal="center" vertical="top" wrapText="1"/>
    </xf>
    <xf numFmtId="0" fontId="3" fillId="2" borderId="10" xfId="0" applyFont="1" applyFill="1" applyBorder="1" applyAlignment="1">
      <alignment horizontal="center" vertical="top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92BCD-9E8C-46B8-AAEF-2DC1F617F4CB}">
  <sheetPr>
    <tabColor rgb="FFFFFF00"/>
    <pageSetUpPr fitToPage="1"/>
  </sheetPr>
  <dimension ref="A1:AB26"/>
  <sheetViews>
    <sheetView tabSelected="1" zoomScale="60" zoomScaleNormal="60" zoomScaleSheetLayoutView="75" workbookViewId="0">
      <pane ySplit="3" topLeftCell="A4" activePane="bottomLeft" state="frozen"/>
      <selection activeCell="B1" sqref="B1:O20"/>
      <selection pane="bottomLeft" activeCell="P12" sqref="P12"/>
    </sheetView>
  </sheetViews>
  <sheetFormatPr defaultRowHeight="14.4"/>
  <cols>
    <col min="1" max="1" width="4.21875" style="28" customWidth="1"/>
    <col min="2" max="2" width="3.21875" style="28" bestFit="1" customWidth="1"/>
    <col min="3" max="3" width="23.77734375" style="38" customWidth="1"/>
    <col min="4" max="5" width="9.77734375" style="59" customWidth="1"/>
    <col min="6" max="6" width="9.77734375" style="60" customWidth="1"/>
    <col min="7" max="11" width="9.77734375" style="2" customWidth="1"/>
    <col min="12" max="12" width="5.6640625" style="2" customWidth="1"/>
    <col min="13" max="14" width="8.21875" style="3" customWidth="1"/>
  </cols>
  <sheetData>
    <row r="1" spans="1:14" ht="15" thickBot="1">
      <c r="A1" s="1"/>
      <c r="B1" s="1"/>
      <c r="C1" s="67" t="s">
        <v>0</v>
      </c>
      <c r="D1" s="68"/>
      <c r="E1" s="68"/>
      <c r="F1" s="68"/>
      <c r="G1" s="68"/>
      <c r="H1" s="68"/>
      <c r="I1" s="69"/>
      <c r="J1" s="69"/>
      <c r="K1" s="70"/>
    </row>
    <row r="2" spans="1:14" s="8" customFormat="1" ht="25.95" customHeight="1" thickBot="1">
      <c r="A2" s="4"/>
      <c r="B2" s="4"/>
      <c r="C2" s="5"/>
      <c r="D2" s="71" t="s">
        <v>1</v>
      </c>
      <c r="E2" s="72"/>
      <c r="F2" s="72"/>
      <c r="G2" s="72"/>
      <c r="H2" s="73"/>
      <c r="I2" s="74" t="s">
        <v>2</v>
      </c>
      <c r="J2" s="74"/>
      <c r="K2" s="75"/>
      <c r="L2" s="6"/>
      <c r="M2" s="7"/>
      <c r="N2" s="7"/>
    </row>
    <row r="3" spans="1:14" s="18" customFormat="1" ht="132" customHeight="1" thickBot="1">
      <c r="A3" s="1"/>
      <c r="B3" s="1"/>
      <c r="C3" s="9"/>
      <c r="D3" s="10" t="s">
        <v>3</v>
      </c>
      <c r="E3" s="11" t="s">
        <v>4</v>
      </c>
      <c r="F3" s="11" t="s">
        <v>5</v>
      </c>
      <c r="G3" s="11" t="s">
        <v>6</v>
      </c>
      <c r="H3" s="12" t="s">
        <v>7</v>
      </c>
      <c r="I3" s="13" t="s">
        <v>8</v>
      </c>
      <c r="J3" s="14" t="s">
        <v>9</v>
      </c>
      <c r="K3" s="15" t="s">
        <v>10</v>
      </c>
      <c r="L3" s="16"/>
      <c r="M3" s="17"/>
      <c r="N3" s="17"/>
    </row>
    <row r="4" spans="1:14" s="28" customFormat="1" ht="15.6" customHeight="1" thickBot="1">
      <c r="A4" s="1"/>
      <c r="B4" s="64" t="s">
        <v>11</v>
      </c>
      <c r="C4" s="19" t="s">
        <v>12</v>
      </c>
      <c r="D4" s="20">
        <v>17</v>
      </c>
      <c r="E4" s="21" t="s">
        <v>13</v>
      </c>
      <c r="F4" s="21">
        <v>1</v>
      </c>
      <c r="G4" s="21">
        <v>0</v>
      </c>
      <c r="H4" s="22"/>
      <c r="I4" s="23">
        <v>0</v>
      </c>
      <c r="J4" s="24">
        <v>0</v>
      </c>
      <c r="K4" s="25">
        <v>0</v>
      </c>
      <c r="L4" s="26"/>
      <c r="M4" s="27"/>
      <c r="N4" s="27"/>
    </row>
    <row r="5" spans="1:14" s="28" customFormat="1" ht="15.6" customHeight="1">
      <c r="A5" s="1"/>
      <c r="B5" s="65"/>
      <c r="C5" s="29" t="s">
        <v>14</v>
      </c>
      <c r="D5" s="20">
        <v>23</v>
      </c>
      <c r="E5" s="21" t="s">
        <v>13</v>
      </c>
      <c r="F5" s="21">
        <v>0</v>
      </c>
      <c r="G5" s="21">
        <v>3</v>
      </c>
      <c r="H5" s="22"/>
      <c r="I5" s="30">
        <v>5.5555555555555552E-2</v>
      </c>
      <c r="J5" s="21">
        <v>2.7777777777777776E-2</v>
      </c>
      <c r="K5" s="25">
        <v>5.5555555555555552E-2</v>
      </c>
      <c r="L5" s="26"/>
      <c r="M5" s="27"/>
      <c r="N5" s="27"/>
    </row>
    <row r="6" spans="1:14" s="28" customFormat="1" ht="15.6" customHeight="1">
      <c r="A6" s="1"/>
      <c r="B6" s="65"/>
      <c r="C6" s="29" t="s">
        <v>15</v>
      </c>
      <c r="D6" s="20">
        <v>19</v>
      </c>
      <c r="E6" s="21" t="s">
        <v>13</v>
      </c>
      <c r="F6" s="21">
        <v>0</v>
      </c>
      <c r="G6" s="21">
        <v>1</v>
      </c>
      <c r="H6" s="22"/>
      <c r="I6" s="30">
        <v>0</v>
      </c>
      <c r="J6" s="21">
        <v>0</v>
      </c>
      <c r="K6" s="22">
        <v>0</v>
      </c>
      <c r="L6" s="26"/>
      <c r="M6" s="27"/>
      <c r="N6" s="27"/>
    </row>
    <row r="7" spans="1:14" s="28" customFormat="1" ht="15.6" customHeight="1" thickBot="1">
      <c r="A7" s="1"/>
      <c r="B7" s="66"/>
      <c r="C7" s="31" t="s">
        <v>16</v>
      </c>
      <c r="D7" s="20">
        <v>0</v>
      </c>
      <c r="E7" s="21">
        <v>14</v>
      </c>
      <c r="F7" s="21">
        <v>3</v>
      </c>
      <c r="G7" s="21">
        <v>0</v>
      </c>
      <c r="H7" s="22"/>
      <c r="I7" s="32">
        <v>8.3333333333333329E-2</v>
      </c>
      <c r="J7" s="33">
        <f>2/36</f>
        <v>5.5555555555555552E-2</v>
      </c>
      <c r="K7" s="34">
        <v>2.7777777777777776E-2</v>
      </c>
      <c r="L7" s="26"/>
      <c r="M7" s="27"/>
      <c r="N7" s="27"/>
    </row>
    <row r="8" spans="1:14" s="28" customFormat="1" ht="15.6" customHeight="1">
      <c r="A8" s="1"/>
      <c r="B8" s="64" t="s">
        <v>17</v>
      </c>
      <c r="C8" s="19" t="s">
        <v>18</v>
      </c>
      <c r="D8" s="20">
        <v>18</v>
      </c>
      <c r="E8" s="21">
        <v>1</v>
      </c>
      <c r="F8" s="21">
        <v>3</v>
      </c>
      <c r="G8" s="21">
        <v>5</v>
      </c>
      <c r="H8" s="22"/>
      <c r="I8" s="23">
        <v>2.7777777777777776E-2</v>
      </c>
      <c r="J8" s="24">
        <v>2.7777777777777776E-2</v>
      </c>
      <c r="K8" s="25">
        <v>0</v>
      </c>
      <c r="L8" s="26"/>
      <c r="M8" s="27"/>
      <c r="N8" s="27"/>
    </row>
    <row r="9" spans="1:14" s="28" customFormat="1" ht="15.6" customHeight="1" thickBot="1">
      <c r="A9" s="1"/>
      <c r="B9" s="65"/>
      <c r="C9" s="29" t="s">
        <v>19</v>
      </c>
      <c r="D9" s="20">
        <v>43</v>
      </c>
      <c r="E9" s="21">
        <v>17</v>
      </c>
      <c r="F9" s="21">
        <v>0</v>
      </c>
      <c r="G9" s="21">
        <v>3</v>
      </c>
      <c r="H9" s="22"/>
      <c r="I9" s="30">
        <v>0.1111111111111111</v>
      </c>
      <c r="J9" s="21">
        <v>0.1111111111111111</v>
      </c>
      <c r="K9" s="34">
        <v>2.7777777777777776E-2</v>
      </c>
      <c r="L9" s="26"/>
      <c r="M9" s="27"/>
      <c r="N9" s="27"/>
    </row>
    <row r="10" spans="1:14" s="28" customFormat="1" ht="15.6" customHeight="1">
      <c r="A10" s="1"/>
      <c r="B10" s="65"/>
      <c r="C10" s="29" t="s">
        <v>20</v>
      </c>
      <c r="D10" s="20">
        <v>0</v>
      </c>
      <c r="E10" s="21">
        <v>3</v>
      </c>
      <c r="F10" s="21">
        <v>0</v>
      </c>
      <c r="G10" s="21">
        <v>0</v>
      </c>
      <c r="H10" s="22"/>
      <c r="I10" s="30">
        <v>0.1111111111111111</v>
      </c>
      <c r="J10" s="21">
        <v>0.1388888888888889</v>
      </c>
      <c r="K10" s="22">
        <v>0</v>
      </c>
      <c r="L10" s="26"/>
      <c r="M10" s="27"/>
      <c r="N10" s="27"/>
    </row>
    <row r="11" spans="1:14" s="28" customFormat="1" ht="15.6" customHeight="1" thickBot="1">
      <c r="A11" s="1"/>
      <c r="B11" s="66"/>
      <c r="C11" s="31" t="s">
        <v>21</v>
      </c>
      <c r="D11" s="20">
        <v>0</v>
      </c>
      <c r="E11" s="21">
        <v>0</v>
      </c>
      <c r="F11" s="21">
        <v>0</v>
      </c>
      <c r="G11" s="21">
        <v>0</v>
      </c>
      <c r="H11" s="22"/>
      <c r="I11" s="32">
        <v>0</v>
      </c>
      <c r="J11" s="33">
        <v>0</v>
      </c>
      <c r="K11" s="34">
        <v>0</v>
      </c>
      <c r="L11" s="26"/>
      <c r="M11" s="27"/>
      <c r="N11" s="27"/>
    </row>
    <row r="12" spans="1:14" s="28" customFormat="1" ht="15.6" customHeight="1">
      <c r="A12" s="1"/>
      <c r="B12" s="61" t="s">
        <v>22</v>
      </c>
      <c r="C12" s="19" t="s">
        <v>23</v>
      </c>
      <c r="D12" s="20">
        <v>7</v>
      </c>
      <c r="E12" s="35">
        <v>0</v>
      </c>
      <c r="F12" s="35">
        <v>0</v>
      </c>
      <c r="G12" s="21">
        <v>0</v>
      </c>
      <c r="H12" s="22"/>
      <c r="I12" s="23">
        <v>0</v>
      </c>
      <c r="J12" s="24">
        <v>0</v>
      </c>
      <c r="K12" s="25">
        <v>0</v>
      </c>
      <c r="L12" s="26"/>
      <c r="M12" s="27"/>
      <c r="N12" s="27"/>
    </row>
    <row r="13" spans="1:14" s="28" customFormat="1" ht="15.6" customHeight="1">
      <c r="A13" s="1"/>
      <c r="B13" s="62"/>
      <c r="C13" s="29" t="s">
        <v>24</v>
      </c>
      <c r="D13" s="20">
        <v>0</v>
      </c>
      <c r="E13" s="35">
        <v>0</v>
      </c>
      <c r="F13" s="35">
        <v>0</v>
      </c>
      <c r="G13" s="21">
        <v>3</v>
      </c>
      <c r="H13" s="22"/>
      <c r="I13" s="30">
        <v>0</v>
      </c>
      <c r="J13" s="21">
        <v>0</v>
      </c>
      <c r="K13" s="22">
        <v>0</v>
      </c>
      <c r="L13" s="26"/>
      <c r="M13" s="27"/>
      <c r="N13" s="27"/>
    </row>
    <row r="14" spans="1:14" s="28" customFormat="1" ht="15.6" customHeight="1">
      <c r="A14" s="1"/>
      <c r="B14" s="62"/>
      <c r="C14" s="29" t="s">
        <v>25</v>
      </c>
      <c r="D14" s="20">
        <v>6</v>
      </c>
      <c r="E14" s="35">
        <v>3</v>
      </c>
      <c r="F14" s="35">
        <v>0</v>
      </c>
      <c r="G14" s="21">
        <v>3</v>
      </c>
      <c r="H14" s="22"/>
      <c r="I14" s="30">
        <v>0</v>
      </c>
      <c r="J14" s="21">
        <v>0</v>
      </c>
      <c r="K14" s="22">
        <v>0</v>
      </c>
      <c r="L14" s="26"/>
      <c r="M14" s="27"/>
      <c r="N14" s="27"/>
    </row>
    <row r="15" spans="1:14" s="28" customFormat="1" ht="15.6" customHeight="1">
      <c r="A15" s="1"/>
      <c r="B15" s="62"/>
      <c r="C15" s="29" t="s">
        <v>26</v>
      </c>
      <c r="D15" s="20">
        <v>7</v>
      </c>
      <c r="E15" s="35">
        <v>0</v>
      </c>
      <c r="F15" s="35">
        <v>0</v>
      </c>
      <c r="G15" s="21">
        <v>0</v>
      </c>
      <c r="H15" s="22"/>
      <c r="I15" s="30">
        <v>0</v>
      </c>
      <c r="J15" s="21">
        <v>0</v>
      </c>
      <c r="K15" s="22">
        <v>0</v>
      </c>
      <c r="L15" s="26"/>
      <c r="M15" s="27"/>
      <c r="N15" s="27"/>
    </row>
    <row r="16" spans="1:14" s="28" customFormat="1" ht="15.45" customHeight="1" thickBot="1">
      <c r="A16" s="1"/>
      <c r="B16" s="63"/>
      <c r="C16" s="31" t="s">
        <v>27</v>
      </c>
      <c r="D16" s="36">
        <v>0</v>
      </c>
      <c r="E16" s="37">
        <v>0</v>
      </c>
      <c r="F16" s="37">
        <v>1</v>
      </c>
      <c r="G16" s="33">
        <v>0</v>
      </c>
      <c r="H16" s="34"/>
      <c r="I16" s="32">
        <v>2.7777777777777776E-2</v>
      </c>
      <c r="J16" s="33">
        <v>0</v>
      </c>
      <c r="K16" s="34">
        <v>0</v>
      </c>
      <c r="L16" s="26"/>
      <c r="M16" s="27"/>
      <c r="N16" s="27"/>
    </row>
    <row r="17" spans="1:28" s="45" customFormat="1" ht="12">
      <c r="A17" s="39"/>
      <c r="B17" s="39"/>
      <c r="C17" s="40" t="s">
        <v>28</v>
      </c>
      <c r="D17" s="41">
        <f>SUM(D4:D16)</f>
        <v>140</v>
      </c>
      <c r="E17" s="41">
        <f>SUM(E4:E16)</f>
        <v>38</v>
      </c>
      <c r="F17" s="41">
        <f>SUM(F4:F16)</f>
        <v>8</v>
      </c>
      <c r="G17" s="41">
        <f>SUM(G4:G16)</f>
        <v>18</v>
      </c>
      <c r="H17" s="42">
        <v>30</v>
      </c>
      <c r="I17" s="43">
        <f>SUM(I4:I16)</f>
        <v>0.41666666666666669</v>
      </c>
      <c r="J17" s="43">
        <f>SUM(J4:J16)</f>
        <v>0.3611111111111111</v>
      </c>
      <c r="K17" s="43">
        <f>SUM(K4:K16)</f>
        <v>0.1111111111111111</v>
      </c>
      <c r="L17" s="44"/>
    </row>
    <row r="18" spans="1:28" s="52" customFormat="1">
      <c r="A18" s="46"/>
      <c r="B18" s="46"/>
      <c r="C18" s="47" t="s">
        <v>29</v>
      </c>
      <c r="D18" s="48">
        <v>30</v>
      </c>
      <c r="E18" s="47">
        <v>25</v>
      </c>
      <c r="F18" s="48">
        <v>30</v>
      </c>
      <c r="G18" s="48">
        <v>30</v>
      </c>
      <c r="H18" s="47">
        <v>15</v>
      </c>
      <c r="I18" s="49">
        <v>0.25</v>
      </c>
      <c r="J18" s="49">
        <v>0.25</v>
      </c>
      <c r="K18" s="49">
        <v>0.25</v>
      </c>
      <c r="L18" s="50"/>
      <c r="M18" s="51"/>
      <c r="N18" s="51"/>
    </row>
    <row r="19" spans="1:28" s="52" customFormat="1">
      <c r="A19" s="46"/>
      <c r="B19" s="46"/>
      <c r="C19" s="47" t="s">
        <v>30</v>
      </c>
      <c r="D19" s="53">
        <f>D18/13</f>
        <v>2.3076923076923075</v>
      </c>
      <c r="E19" s="53">
        <f t="shared" ref="E19:G19" si="0">E18/13</f>
        <v>1.9230769230769231</v>
      </c>
      <c r="F19" s="53">
        <f t="shared" si="0"/>
        <v>2.3076923076923075</v>
      </c>
      <c r="G19" s="53">
        <f t="shared" si="0"/>
        <v>2.3076923076923075</v>
      </c>
      <c r="H19" s="53" t="s">
        <v>13</v>
      </c>
      <c r="I19" s="49">
        <v>0.25</v>
      </c>
      <c r="J19" s="49">
        <v>0.25</v>
      </c>
      <c r="K19" s="49">
        <v>0.25</v>
      </c>
      <c r="L19" s="50"/>
      <c r="M19" s="51"/>
      <c r="N19" s="51"/>
      <c r="O19" s="51"/>
      <c r="P19" s="51"/>
      <c r="Q19" s="51"/>
      <c r="R19" s="51"/>
      <c r="S19" s="51"/>
      <c r="T19" s="51"/>
      <c r="U19" s="51"/>
      <c r="V19" s="51"/>
      <c r="W19" s="51"/>
      <c r="X19" s="51"/>
      <c r="Y19" s="51"/>
      <c r="Z19" s="51"/>
      <c r="AA19" s="51"/>
      <c r="AB19" s="51"/>
    </row>
    <row r="21" spans="1:28" hidden="1">
      <c r="C21" s="54" t="s">
        <v>31</v>
      </c>
      <c r="D21" s="55"/>
      <c r="E21" s="55"/>
      <c r="F21" s="56"/>
      <c r="G21" s="57"/>
      <c r="H21" s="57"/>
      <c r="I21" s="57"/>
      <c r="J21" s="57"/>
      <c r="K21" s="57"/>
      <c r="L21" s="57"/>
    </row>
    <row r="22" spans="1:28" hidden="1">
      <c r="C22" s="58" t="s">
        <v>32</v>
      </c>
      <c r="D22" s="55"/>
      <c r="E22" s="55"/>
      <c r="F22" s="56"/>
      <c r="G22" s="57"/>
      <c r="H22" s="57"/>
      <c r="I22" s="57"/>
      <c r="J22" s="57"/>
      <c r="K22" s="57"/>
      <c r="L22" s="57"/>
    </row>
    <row r="23" spans="1:28" hidden="1">
      <c r="C23" s="58" t="s">
        <v>33</v>
      </c>
      <c r="D23" s="55"/>
      <c r="E23" s="55"/>
      <c r="F23" s="56"/>
      <c r="G23" s="57"/>
      <c r="H23" s="57"/>
      <c r="I23" s="57"/>
      <c r="J23" s="57"/>
      <c r="K23" s="57"/>
      <c r="L23" s="57"/>
    </row>
    <row r="24" spans="1:28" hidden="1">
      <c r="C24" s="58" t="s">
        <v>34</v>
      </c>
    </row>
    <row r="25" spans="1:28" hidden="1"/>
    <row r="26" spans="1:28">
      <c r="C26" s="58"/>
    </row>
  </sheetData>
  <mergeCells count="6">
    <mergeCell ref="B12:B16"/>
    <mergeCell ref="B4:B7"/>
    <mergeCell ref="B8:B11"/>
    <mergeCell ref="C1:K1"/>
    <mergeCell ref="D2:H2"/>
    <mergeCell ref="I2:K2"/>
  </mergeCells>
  <conditionalFormatting sqref="D4:D16">
    <cfRule type="colorScale" priority="40">
      <colorScale>
        <cfvo type="min"/>
        <cfvo type="formula" val="$D$19/2"/>
        <cfvo type="formula" val="$D$19"/>
        <color rgb="FFFF0000"/>
        <color rgb="FFFFFF00"/>
        <color rgb="FF00B050"/>
      </colorScale>
    </cfRule>
    <cfRule type="colorScale" priority="41">
      <colorScale>
        <cfvo type="min"/>
        <cfvo type="formula" val="&quot;MAX($A$1:$C$10)/2&quot;"/>
        <cfvo type="max"/>
        <color rgb="FFF8696B"/>
        <color rgb="FFFFEB84"/>
        <color rgb="FF63BE7B"/>
      </colorScale>
    </cfRule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4:E16">
    <cfRule type="colorScale" priority="43">
      <colorScale>
        <cfvo type="min"/>
        <cfvo type="formula" val="$E$19/2"/>
        <cfvo type="formula" val="$E$19"/>
        <color rgb="FFFF0000"/>
        <color rgb="FFFFFF00"/>
        <color rgb="FF00B050"/>
      </colorScale>
    </cfRule>
  </conditionalFormatting>
  <conditionalFormatting sqref="F4:F16">
    <cfRule type="colorScale" priority="44">
      <colorScale>
        <cfvo type="min"/>
        <cfvo type="formula" val="$F$19/2"/>
        <cfvo type="formula" val="$F$19"/>
        <color rgb="FFFF0000"/>
        <color rgb="FFFFFF00"/>
        <color rgb="FF00B050"/>
      </colorScale>
    </cfRule>
  </conditionalFormatting>
  <conditionalFormatting sqref="G4:G16">
    <cfRule type="colorScale" priority="45">
      <colorScale>
        <cfvo type="min"/>
        <cfvo type="formula" val="$G$19/2"/>
        <cfvo type="formula" val="$G$19"/>
        <color rgb="FFFF0000"/>
        <color rgb="FFFFFF00"/>
        <color rgb="FF00B050"/>
      </colorScale>
    </cfRule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16">
    <cfRule type="colorScale" priority="47">
      <colorScale>
        <cfvo type="min"/>
        <cfvo type="formula" val="$I$19/2"/>
        <cfvo type="formula" val="$I$19"/>
        <color rgb="FFFF0000"/>
        <color rgb="FFFFFF00"/>
        <color rgb="FF00B050"/>
      </colorScale>
    </cfRule>
  </conditionalFormatting>
  <conditionalFormatting sqref="J4:J16">
    <cfRule type="colorScale" priority="48">
      <colorScale>
        <cfvo type="min"/>
        <cfvo type="formula" val="$J$19/2"/>
        <cfvo type="formula" val="$J$19"/>
        <color rgb="FFFF0000"/>
        <color rgb="FFFFFF00"/>
        <color rgb="FF00B050"/>
      </colorScale>
    </cfRule>
  </conditionalFormatting>
  <conditionalFormatting sqref="K4:K16">
    <cfRule type="colorScale" priority="49">
      <colorScale>
        <cfvo type="min"/>
        <cfvo type="formula" val="$K$19/2"/>
        <cfvo type="formula" val="$K$19"/>
        <color rgb="FFFF0000"/>
        <color rgb="FFFFFF00"/>
        <color rgb="FF00B050"/>
      </colorScale>
    </cfRule>
  </conditionalFormatting>
  <pageMargins left="0.7" right="0.7" top="0.75" bottom="0.75" header="0.3" footer="0.3"/>
  <pageSetup paperSize="8" scale="88" orientation="landscape" r:id="rId1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Reputation, Society</vt:lpstr>
      <vt:lpstr>'Reputation, Society'!Print_Area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2026-04-08T13:56:26Z</dcterms:created>
  <dcterms:modified xsi:type="dcterms:W3CDTF">2026-04-08T16:53:37Z</dcterms:modified>
</cp:coreProperties>
</file>