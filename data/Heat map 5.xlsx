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earning\Miscellaneous\KPIDashboard\data\"/>
    </mc:Choice>
  </mc:AlternateContent>
  <xr:revisionPtr revIDLastSave="0" documentId="13_ncr:1_{036980D9-2D3B-42ED-B304-E3691613A516}" xr6:coauthVersionLast="47" xr6:coauthVersionMax="47" xr10:uidLastSave="{00000000-0000-0000-0000-000000000000}"/>
  <bookViews>
    <workbookView xWindow="28680" yWindow="-120" windowWidth="29040" windowHeight="15720" xr2:uid="{9DC939E2-9D2B-49F9-96FE-7432C9E71486}"/>
  </bookViews>
  <sheets>
    <sheet name="Reputation, Society" sheetId="1" r:id="rId1"/>
  </sheets>
  <definedNames>
    <definedName name="_Hlk200085589" localSheetId="0">'Reputation, Society'!#REF!</definedName>
    <definedName name="_xlnm.Print_Area" localSheetId="0">'Reputation, Society'!$B$1:$K$19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F19" i="1"/>
  <c r="E19" i="1"/>
  <c r="D19" i="1"/>
  <c r="G17" i="1"/>
  <c r="F17" i="1"/>
  <c r="E17" i="1"/>
  <c r="D17" i="1"/>
</calcChain>
</file>

<file path=xl/sharedStrings.xml><?xml version="1.0" encoding="utf-8"?>
<sst xmlns="http://schemas.openxmlformats.org/spreadsheetml/2006/main" count="51" uniqueCount="32">
  <si>
    <t>KPI by Nr.</t>
  </si>
  <si>
    <t>Recognition and Reputation</t>
  </si>
  <si>
    <t>Society Impact &amp; Inclusion</t>
  </si>
  <si>
    <t>Biotech</t>
  </si>
  <si>
    <t>N/A</t>
  </si>
  <si>
    <t>Breeding</t>
  </si>
  <si>
    <t>Genebanks</t>
  </si>
  <si>
    <t>Seed System</t>
  </si>
  <si>
    <t>Plant Health</t>
  </si>
  <si>
    <t>Farming Systems Agronomy</t>
  </si>
  <si>
    <t>Mechanization</t>
  </si>
  <si>
    <t>2025 Actual Values</t>
  </si>
  <si>
    <t>Annual Target</t>
  </si>
  <si>
    <t xml:space="preserve">per Program Target </t>
  </si>
  <si>
    <t>Natural Resource Management</t>
  </si>
  <si>
    <t>Foresight &amp; Impact Assessment</t>
  </si>
  <si>
    <t>Gender, Youth &amp; Social Inclusion</t>
  </si>
  <si>
    <t>Reslience &amp; Climate Adaptation</t>
  </si>
  <si>
    <t>Nutrition and Health</t>
  </si>
  <si>
    <t>Value Chain Markets and Agribusiness</t>
  </si>
  <si>
    <t>Collaboration with Agriculture Research Institutions</t>
  </si>
  <si>
    <t>Active collaborations with scaling partners</t>
  </si>
  <si>
    <t>Awards granted to IITA staff or project teams</t>
  </si>
  <si>
    <t xml:space="preserve"> Invitations for presentations or seminars</t>
  </si>
  <si>
    <t>High level engagements</t>
  </si>
  <si>
    <t xml:space="preserve"> Approved proposals with GeYSI components</t>
  </si>
  <si>
    <t>Approved proposals with climate components</t>
  </si>
  <si>
    <t>Approved proposals with nutrition ad health components</t>
  </si>
  <si>
    <t xml:space="preserve"> </t>
  </si>
  <si>
    <t>Genetic Innovation</t>
  </si>
  <si>
    <t>Resilient Agrifood Systems</t>
  </si>
  <si>
    <t>Systems Transformation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</si>
</sst>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_(* #,##0_);_(* \(#,##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"/>
      <color rgb="FF000000"/>
      <name val="Calibri"/>
      <family val="2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0" borderId="5" xfId="0" applyFont="1" applyBorder="1" applyAlignment="1">
      <alignment horizontal="left" vertical="top"/>
    </xf>
    <xf numFmtId="0" fontId="4" fillId="0" borderId="11" xfId="0" applyFont="1" applyBorder="1" applyAlignment="1">
      <alignment horizontal="left" textRotation="90" wrapText="1" readingOrder="1"/>
    </xf>
    <xf numFmtId="0" fontId="4" fillId="0" borderId="12" xfId="0" applyFont="1" applyBorder="1" applyAlignment="1">
      <alignment horizontal="left" textRotation="90" wrapText="1" readingOrder="1"/>
    </xf>
    <xf numFmtId="0" fontId="4" fillId="0" borderId="13" xfId="0" applyFont="1" applyBorder="1" applyAlignment="1">
      <alignment horizontal="left" textRotation="90" wrapText="1" readingOrder="1"/>
    </xf>
    <xf numFmtId="0" fontId="4" fillId="0" borderId="9" xfId="0" applyFont="1" applyBorder="1" applyAlignment="1">
      <alignment horizontal="left" textRotation="90" wrapText="1" readingOrder="1"/>
    </xf>
    <xf numFmtId="0" fontId="4" fillId="0" borderId="3" xfId="0" applyFont="1" applyBorder="1" applyAlignment="1">
      <alignment horizontal="left" textRotation="90" wrapText="1" readingOrder="1"/>
    </xf>
    <xf numFmtId="0" fontId="4" fillId="0" borderId="4" xfId="0" applyFont="1" applyBorder="1" applyAlignment="1">
      <alignment horizontal="left" textRotation="90" wrapText="1" readingOrder="1"/>
    </xf>
    <xf numFmtId="0" fontId="5" fillId="0" borderId="0" xfId="0" applyFont="1"/>
    <xf numFmtId="0" fontId="2" fillId="0" borderId="0" xfId="0" applyFont="1" applyAlignment="1">
      <alignment horizontal="right"/>
    </xf>
    <xf numFmtId="0" fontId="6" fillId="0" borderId="0" xfId="0" applyFont="1"/>
    <xf numFmtId="0" fontId="2" fillId="0" borderId="0" xfId="0" applyFont="1" applyAlignment="1">
      <alignment horizontal="left"/>
    </xf>
    <xf numFmtId="0" fontId="4" fillId="0" borderId="20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2" fillId="3" borderId="0" xfId="0" applyFont="1" applyFill="1"/>
    <xf numFmtId="0" fontId="2" fillId="3" borderId="0" xfId="0" applyFont="1" applyFill="1" applyAlignment="1">
      <alignment horizontal="right"/>
    </xf>
    <xf numFmtId="166" fontId="2" fillId="3" borderId="0" xfId="1" applyNumberFormat="1" applyFont="1" applyFill="1" applyAlignment="1">
      <alignment horizontal="right"/>
    </xf>
    <xf numFmtId="9" fontId="2" fillId="3" borderId="0" xfId="2" applyFont="1" applyFill="1" applyAlignment="1">
      <alignment horizontal="right"/>
    </xf>
    <xf numFmtId="165" fontId="8" fillId="0" borderId="0" xfId="0" applyNumberFormat="1" applyFont="1"/>
    <xf numFmtId="0" fontId="6" fillId="3" borderId="0" xfId="0" applyFont="1" applyFill="1"/>
    <xf numFmtId="165" fontId="7" fillId="0" borderId="0" xfId="0" applyNumberFormat="1" applyFont="1"/>
    <xf numFmtId="0" fontId="7" fillId="0" borderId="0" xfId="0" applyFont="1"/>
    <xf numFmtId="2" fontId="2" fillId="3" borderId="0" xfId="0" applyNumberFormat="1" applyFont="1" applyFill="1" applyAlignment="1">
      <alignment horizontal="right"/>
    </xf>
    <xf numFmtId="165" fontId="2" fillId="0" borderId="11" xfId="1" applyNumberFormat="1" applyFont="1" applyBorder="1" applyAlignment="1">
      <alignment horizontal="right" vertical="center"/>
    </xf>
    <xf numFmtId="165" fontId="2" fillId="0" borderId="12" xfId="1" applyNumberFormat="1" applyFont="1" applyBorder="1" applyAlignment="1">
      <alignment horizontal="right" vertical="center"/>
    </xf>
    <xf numFmtId="165" fontId="2" fillId="0" borderId="13" xfId="1" applyNumberFormat="1" applyFont="1" applyBorder="1" applyAlignment="1">
      <alignment horizontal="right" vertical="center"/>
    </xf>
    <xf numFmtId="165" fontId="2" fillId="2" borderId="12" xfId="1" applyNumberFormat="1" applyFont="1" applyFill="1" applyBorder="1" applyAlignment="1">
      <alignment horizontal="right" vertical="center"/>
    </xf>
    <xf numFmtId="165" fontId="2" fillId="0" borderId="19" xfId="1" applyNumberFormat="1" applyFont="1" applyBorder="1" applyAlignment="1">
      <alignment horizontal="right" vertical="center"/>
    </xf>
    <xf numFmtId="165" fontId="2" fillId="2" borderId="17" xfId="1" applyNumberFormat="1" applyFont="1" applyFill="1" applyBorder="1" applyAlignment="1">
      <alignment horizontal="right" vertical="center"/>
    </xf>
    <xf numFmtId="165" fontId="2" fillId="0" borderId="17" xfId="1" applyNumberFormat="1" applyFont="1" applyBorder="1" applyAlignment="1">
      <alignment horizontal="right" vertical="center"/>
    </xf>
    <xf numFmtId="166" fontId="2" fillId="0" borderId="0" xfId="1" applyNumberFormat="1" applyFont="1" applyAlignment="1">
      <alignment horizontal="right"/>
    </xf>
    <xf numFmtId="9" fontId="2" fillId="0" borderId="0" xfId="2" applyFont="1" applyAlignment="1">
      <alignment horizontal="right"/>
    </xf>
    <xf numFmtId="0" fontId="9" fillId="2" borderId="5" xfId="0" applyFont="1" applyFill="1" applyBorder="1" applyAlignment="1">
      <alignment horizontal="center" vertical="top"/>
    </xf>
    <xf numFmtId="9" fontId="2" fillId="0" borderId="14" xfId="2" applyFont="1" applyBorder="1" applyAlignment="1">
      <alignment horizontal="right" vertical="center"/>
    </xf>
    <xf numFmtId="9" fontId="2" fillId="0" borderId="7" xfId="2" applyFont="1" applyBorder="1" applyAlignment="1">
      <alignment horizontal="right" vertical="center"/>
    </xf>
    <xf numFmtId="9" fontId="2" fillId="0" borderId="8" xfId="2" applyFont="1" applyBorder="1" applyAlignment="1">
      <alignment horizontal="right" vertical="center"/>
    </xf>
    <xf numFmtId="9" fontId="2" fillId="0" borderId="15" xfId="2" applyFont="1" applyBorder="1" applyAlignment="1">
      <alignment horizontal="right" vertical="center"/>
    </xf>
    <xf numFmtId="9" fontId="2" fillId="0" borderId="12" xfId="2" applyFont="1" applyBorder="1" applyAlignment="1">
      <alignment horizontal="right" vertical="center"/>
    </xf>
    <xf numFmtId="9" fontId="2" fillId="0" borderId="13" xfId="2" applyFont="1" applyBorder="1" applyAlignment="1">
      <alignment horizontal="right" vertical="center"/>
    </xf>
    <xf numFmtId="9" fontId="2" fillId="0" borderId="16" xfId="2" applyFont="1" applyBorder="1" applyAlignment="1">
      <alignment horizontal="right" vertical="center"/>
    </xf>
    <xf numFmtId="9" fontId="2" fillId="0" borderId="17" xfId="2" applyFont="1" applyBorder="1" applyAlignment="1">
      <alignment horizontal="right" vertical="center"/>
    </xf>
    <xf numFmtId="9" fontId="2" fillId="0" borderId="18" xfId="2" applyFont="1" applyBorder="1" applyAlignment="1">
      <alignment horizontal="right" vertical="center"/>
    </xf>
    <xf numFmtId="0" fontId="9" fillId="2" borderId="23" xfId="0" applyFont="1" applyFill="1" applyBorder="1" applyAlignment="1">
      <alignment horizontal="center" vertical="center" textRotation="90"/>
    </xf>
    <xf numFmtId="0" fontId="9" fillId="2" borderId="24" xfId="0" applyFont="1" applyFill="1" applyBorder="1" applyAlignment="1">
      <alignment horizontal="center" vertical="center" textRotation="90"/>
    </xf>
    <xf numFmtId="0" fontId="9" fillId="2" borderId="25" xfId="0" applyFont="1" applyFill="1" applyBorder="1" applyAlignment="1">
      <alignment horizontal="center" vertical="center" textRotation="90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top" wrapText="1"/>
    </xf>
    <xf numFmtId="0" fontId="9" fillId="2" borderId="7" xfId="0" applyFont="1" applyFill="1" applyBorder="1" applyAlignment="1">
      <alignment horizontal="center" vertical="top" wrapText="1"/>
    </xf>
    <xf numFmtId="0" fontId="9" fillId="2" borderId="8" xfId="0" applyFont="1" applyFill="1" applyBorder="1" applyAlignment="1">
      <alignment horizontal="center" vertical="top" wrapText="1"/>
    </xf>
    <xf numFmtId="0" fontId="9" fillId="2" borderId="9" xfId="0" applyFont="1" applyFill="1" applyBorder="1" applyAlignment="1">
      <alignment horizontal="right" vertical="top" wrapText="1"/>
    </xf>
    <xf numFmtId="0" fontId="9" fillId="2" borderId="10" xfId="0" applyFont="1" applyFill="1" applyBorder="1" applyAlignment="1">
      <alignment horizontal="right" vertical="top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92BCD-9E8C-46B8-AAEF-2DC1F617F4CB}">
  <sheetPr>
    <tabColor rgb="FFFFFF00"/>
    <pageSetUpPr fitToPage="1"/>
  </sheetPr>
  <dimension ref="B1:X26"/>
  <sheetViews>
    <sheetView tabSelected="1" zoomScale="85" zoomScaleNormal="85" zoomScaleSheetLayoutView="75" workbookViewId="0">
      <pane ySplit="3" topLeftCell="A4" activePane="bottomLeft" state="frozen"/>
      <selection activeCell="B1" sqref="B1:O20"/>
      <selection pane="bottomLeft" activeCell="H12" sqref="H12"/>
    </sheetView>
  </sheetViews>
  <sheetFormatPr defaultRowHeight="14.4" x14ac:dyDescent="0.3"/>
  <cols>
    <col min="2" max="2" width="3.21875" style="13" bestFit="1" customWidth="1"/>
    <col min="3" max="3" width="38.21875" style="14" customWidth="1"/>
    <col min="4" max="5" width="9.77734375" style="34" customWidth="1"/>
    <col min="6" max="6" width="9.77734375" style="35" customWidth="1"/>
    <col min="7" max="11" width="9.77734375" style="12" customWidth="1"/>
  </cols>
  <sheetData>
    <row r="1" spans="2:11" ht="15" thickBot="1" x14ac:dyDescent="0.35">
      <c r="B1" s="1"/>
      <c r="C1" s="49" t="s">
        <v>0</v>
      </c>
      <c r="D1" s="50"/>
      <c r="E1" s="50"/>
      <c r="F1" s="50"/>
      <c r="G1" s="50"/>
      <c r="H1" s="50"/>
      <c r="I1" s="51"/>
      <c r="J1" s="51"/>
      <c r="K1" s="52"/>
    </row>
    <row r="2" spans="2:11" s="3" customFormat="1" ht="25.95" customHeight="1" thickBot="1" x14ac:dyDescent="0.35">
      <c r="B2" s="2"/>
      <c r="C2" s="36"/>
      <c r="D2" s="53" t="s">
        <v>1</v>
      </c>
      <c r="E2" s="54"/>
      <c r="F2" s="54"/>
      <c r="G2" s="54"/>
      <c r="H2" s="55"/>
      <c r="I2" s="56" t="s">
        <v>2</v>
      </c>
      <c r="J2" s="56"/>
      <c r="K2" s="57"/>
    </row>
    <row r="3" spans="2:11" s="11" customFormat="1" ht="132" customHeight="1" thickBot="1" x14ac:dyDescent="0.3">
      <c r="B3" s="1"/>
      <c r="C3" s="4"/>
      <c r="D3" s="5" t="s">
        <v>20</v>
      </c>
      <c r="E3" s="6" t="s">
        <v>21</v>
      </c>
      <c r="F3" s="6" t="s">
        <v>22</v>
      </c>
      <c r="G3" s="6" t="s">
        <v>23</v>
      </c>
      <c r="H3" s="7" t="s">
        <v>24</v>
      </c>
      <c r="I3" s="8" t="s">
        <v>25</v>
      </c>
      <c r="J3" s="9" t="s">
        <v>26</v>
      </c>
      <c r="K3" s="10" t="s">
        <v>27</v>
      </c>
    </row>
    <row r="4" spans="2:11" s="13" customFormat="1" ht="15.6" customHeight="1" thickBot="1" x14ac:dyDescent="0.3">
      <c r="B4" s="46" t="s">
        <v>29</v>
      </c>
      <c r="C4" s="15" t="s">
        <v>3</v>
      </c>
      <c r="D4" s="27">
        <v>17</v>
      </c>
      <c r="E4" s="28" t="s">
        <v>4</v>
      </c>
      <c r="F4" s="28">
        <v>1</v>
      </c>
      <c r="G4" s="28">
        <v>0</v>
      </c>
      <c r="H4" s="29" t="s">
        <v>4</v>
      </c>
      <c r="I4" s="37">
        <v>0</v>
      </c>
      <c r="J4" s="38">
        <v>0</v>
      </c>
      <c r="K4" s="39">
        <v>0</v>
      </c>
    </row>
    <row r="5" spans="2:11" s="13" customFormat="1" ht="15.6" customHeight="1" x14ac:dyDescent="0.25">
      <c r="B5" s="47"/>
      <c r="C5" s="16" t="s">
        <v>5</v>
      </c>
      <c r="D5" s="27">
        <v>23</v>
      </c>
      <c r="E5" s="28" t="s">
        <v>4</v>
      </c>
      <c r="F5" s="28">
        <v>0</v>
      </c>
      <c r="G5" s="28">
        <v>3</v>
      </c>
      <c r="H5" s="29" t="s">
        <v>4</v>
      </c>
      <c r="I5" s="40">
        <v>0.28999999999999998</v>
      </c>
      <c r="J5" s="41">
        <v>0.14000000000000001</v>
      </c>
      <c r="K5" s="39">
        <v>0.28999999999999998</v>
      </c>
    </row>
    <row r="6" spans="2:11" s="13" customFormat="1" ht="15.6" customHeight="1" x14ac:dyDescent="0.25">
      <c r="B6" s="47"/>
      <c r="C6" s="16" t="s">
        <v>6</v>
      </c>
      <c r="D6" s="27">
        <v>19</v>
      </c>
      <c r="E6" s="28" t="s">
        <v>4</v>
      </c>
      <c r="F6" s="28">
        <v>0</v>
      </c>
      <c r="G6" s="28">
        <v>1</v>
      </c>
      <c r="H6" s="29" t="s">
        <v>4</v>
      </c>
      <c r="I6" s="40">
        <v>0</v>
      </c>
      <c r="J6" s="41">
        <v>0</v>
      </c>
      <c r="K6" s="42">
        <v>0</v>
      </c>
    </row>
    <row r="7" spans="2:11" s="13" customFormat="1" ht="15.6" customHeight="1" thickBot="1" x14ac:dyDescent="0.3">
      <c r="B7" s="48"/>
      <c r="C7" s="17" t="s">
        <v>7</v>
      </c>
      <c r="D7" s="27">
        <v>0</v>
      </c>
      <c r="E7" s="28">
        <v>14</v>
      </c>
      <c r="F7" s="28">
        <v>3</v>
      </c>
      <c r="G7" s="28">
        <v>0</v>
      </c>
      <c r="H7" s="29" t="s">
        <v>4</v>
      </c>
      <c r="I7" s="43">
        <v>0.43</v>
      </c>
      <c r="J7" s="44">
        <v>0.28999999999999998</v>
      </c>
      <c r="K7" s="45">
        <v>0.14000000000000001</v>
      </c>
    </row>
    <row r="8" spans="2:11" s="13" customFormat="1" ht="15.6" customHeight="1" x14ac:dyDescent="0.25">
      <c r="B8" s="46" t="s">
        <v>30</v>
      </c>
      <c r="C8" s="15" t="s">
        <v>8</v>
      </c>
      <c r="D8" s="27">
        <v>18</v>
      </c>
      <c r="E8" s="28">
        <v>1</v>
      </c>
      <c r="F8" s="28">
        <v>3</v>
      </c>
      <c r="G8" s="28">
        <v>5</v>
      </c>
      <c r="H8" s="29" t="s">
        <v>4</v>
      </c>
      <c r="I8" s="37">
        <v>0.33</v>
      </c>
      <c r="J8" s="38">
        <v>0.33</v>
      </c>
      <c r="K8" s="39">
        <v>0</v>
      </c>
    </row>
    <row r="9" spans="2:11" s="13" customFormat="1" ht="15.6" customHeight="1" thickBot="1" x14ac:dyDescent="0.3">
      <c r="B9" s="47"/>
      <c r="C9" s="16" t="s">
        <v>9</v>
      </c>
      <c r="D9" s="27">
        <v>43</v>
      </c>
      <c r="E9" s="28">
        <v>17</v>
      </c>
      <c r="F9" s="28">
        <v>0</v>
      </c>
      <c r="G9" s="28">
        <v>3</v>
      </c>
      <c r="H9" s="29" t="s">
        <v>4</v>
      </c>
      <c r="I9" s="40">
        <v>0.44</v>
      </c>
      <c r="J9" s="41">
        <v>0.44</v>
      </c>
      <c r="K9" s="45">
        <v>0.11</v>
      </c>
    </row>
    <row r="10" spans="2:11" s="13" customFormat="1" ht="15.6" customHeight="1" x14ac:dyDescent="0.25">
      <c r="B10" s="47"/>
      <c r="C10" s="16" t="s">
        <v>14</v>
      </c>
      <c r="D10" s="27">
        <v>0</v>
      </c>
      <c r="E10" s="28">
        <v>3</v>
      </c>
      <c r="F10" s="28">
        <v>0</v>
      </c>
      <c r="G10" s="28">
        <v>0</v>
      </c>
      <c r="H10" s="29" t="s">
        <v>4</v>
      </c>
      <c r="I10" s="40">
        <v>0.56999999999999995</v>
      </c>
      <c r="J10" s="41">
        <v>0.71</v>
      </c>
      <c r="K10" s="42">
        <v>0</v>
      </c>
    </row>
    <row r="11" spans="2:11" s="13" customFormat="1" ht="15.6" customHeight="1" thickBot="1" x14ac:dyDescent="0.3">
      <c r="B11" s="48"/>
      <c r="C11" s="17" t="s">
        <v>10</v>
      </c>
      <c r="D11" s="27">
        <v>0</v>
      </c>
      <c r="E11" s="28">
        <v>0</v>
      </c>
      <c r="F11" s="28">
        <v>0</v>
      </c>
      <c r="G11" s="28">
        <v>0</v>
      </c>
      <c r="H11" s="29" t="s">
        <v>4</v>
      </c>
      <c r="I11" s="43">
        <v>0</v>
      </c>
      <c r="J11" s="44">
        <v>0</v>
      </c>
      <c r="K11" s="45">
        <v>0</v>
      </c>
    </row>
    <row r="12" spans="2:11" s="13" customFormat="1" ht="15.6" customHeight="1" x14ac:dyDescent="0.25">
      <c r="B12" s="46" t="s">
        <v>31</v>
      </c>
      <c r="C12" s="15" t="s">
        <v>15</v>
      </c>
      <c r="D12" s="27">
        <v>7</v>
      </c>
      <c r="E12" s="30">
        <v>0</v>
      </c>
      <c r="F12" s="30">
        <v>0</v>
      </c>
      <c r="G12" s="28">
        <v>0</v>
      </c>
      <c r="H12" s="29" t="s">
        <v>4</v>
      </c>
      <c r="I12" s="37">
        <v>0</v>
      </c>
      <c r="J12" s="38">
        <v>0</v>
      </c>
      <c r="K12" s="39">
        <v>0</v>
      </c>
    </row>
    <row r="13" spans="2:11" s="13" customFormat="1" ht="15.6" customHeight="1" x14ac:dyDescent="0.25">
      <c r="B13" s="47"/>
      <c r="C13" s="16" t="s">
        <v>16</v>
      </c>
      <c r="D13" s="27">
        <v>0</v>
      </c>
      <c r="E13" s="30">
        <v>0</v>
      </c>
      <c r="F13" s="30">
        <v>0</v>
      </c>
      <c r="G13" s="28">
        <v>3</v>
      </c>
      <c r="H13" s="29" t="s">
        <v>4</v>
      </c>
      <c r="I13" s="40">
        <v>0</v>
      </c>
      <c r="J13" s="41">
        <v>0</v>
      </c>
      <c r="K13" s="42">
        <v>0</v>
      </c>
    </row>
    <row r="14" spans="2:11" s="13" customFormat="1" ht="15.6" customHeight="1" x14ac:dyDescent="0.25">
      <c r="B14" s="47"/>
      <c r="C14" s="16" t="s">
        <v>17</v>
      </c>
      <c r="D14" s="27">
        <v>6</v>
      </c>
      <c r="E14" s="30">
        <v>3</v>
      </c>
      <c r="F14" s="30">
        <v>0</v>
      </c>
      <c r="G14" s="28">
        <v>3</v>
      </c>
      <c r="H14" s="29" t="s">
        <v>4</v>
      </c>
      <c r="I14" s="40">
        <v>0</v>
      </c>
      <c r="J14" s="41">
        <v>0</v>
      </c>
      <c r="K14" s="42">
        <v>0</v>
      </c>
    </row>
    <row r="15" spans="2:11" s="13" customFormat="1" ht="15.6" customHeight="1" x14ac:dyDescent="0.25">
      <c r="B15" s="47"/>
      <c r="C15" s="16" t="s">
        <v>18</v>
      </c>
      <c r="D15" s="27">
        <v>7</v>
      </c>
      <c r="E15" s="30">
        <v>0</v>
      </c>
      <c r="F15" s="30">
        <v>0</v>
      </c>
      <c r="G15" s="28">
        <v>0</v>
      </c>
      <c r="H15" s="29" t="s">
        <v>4</v>
      </c>
      <c r="I15" s="40">
        <v>0</v>
      </c>
      <c r="J15" s="41">
        <v>0</v>
      </c>
      <c r="K15" s="42">
        <v>0</v>
      </c>
    </row>
    <row r="16" spans="2:11" s="13" customFormat="1" ht="15.45" customHeight="1" thickBot="1" x14ac:dyDescent="0.3">
      <c r="B16" s="48"/>
      <c r="C16" s="17" t="s">
        <v>19</v>
      </c>
      <c r="D16" s="31">
        <v>0</v>
      </c>
      <c r="E16" s="32">
        <v>0</v>
      </c>
      <c r="F16" s="32">
        <v>1</v>
      </c>
      <c r="G16" s="33">
        <v>0</v>
      </c>
      <c r="H16" s="29" t="s">
        <v>4</v>
      </c>
      <c r="I16" s="43">
        <v>1</v>
      </c>
      <c r="J16" s="44">
        <v>0</v>
      </c>
      <c r="K16" s="45">
        <v>0</v>
      </c>
    </row>
    <row r="17" spans="2:24" s="22" customFormat="1" ht="12" x14ac:dyDescent="0.25">
      <c r="B17" s="18"/>
      <c r="C17" s="19" t="s">
        <v>11</v>
      </c>
      <c r="D17" s="20">
        <f>SUM(D4:D16)</f>
        <v>140</v>
      </c>
      <c r="E17" s="20">
        <f>SUM(E4:E16)</f>
        <v>38</v>
      </c>
      <c r="F17" s="20">
        <f>SUM(F4:F16)</f>
        <v>8</v>
      </c>
      <c r="G17" s="20">
        <f>SUM(G4:G16)</f>
        <v>18</v>
      </c>
      <c r="H17" s="20">
        <v>30</v>
      </c>
      <c r="I17" s="21" t="s">
        <v>4</v>
      </c>
      <c r="J17" s="21" t="s">
        <v>4</v>
      </c>
      <c r="K17" s="21" t="s">
        <v>4</v>
      </c>
    </row>
    <row r="18" spans="2:24" s="25" customFormat="1" x14ac:dyDescent="0.3">
      <c r="B18" s="23"/>
      <c r="C18" s="19" t="s">
        <v>12</v>
      </c>
      <c r="D18" s="20">
        <v>30</v>
      </c>
      <c r="E18" s="19">
        <v>25</v>
      </c>
      <c r="F18" s="20">
        <v>30</v>
      </c>
      <c r="G18" s="20">
        <v>30</v>
      </c>
      <c r="H18" s="19">
        <v>15</v>
      </c>
      <c r="I18" s="21">
        <v>0.25</v>
      </c>
      <c r="J18" s="21">
        <v>0.25</v>
      </c>
      <c r="K18" s="21">
        <v>0.25</v>
      </c>
    </row>
    <row r="19" spans="2:24" s="25" customFormat="1" x14ac:dyDescent="0.3">
      <c r="B19" s="23"/>
      <c r="C19" s="19" t="s">
        <v>13</v>
      </c>
      <c r="D19" s="26">
        <f>D18/13</f>
        <v>2.3076923076923075</v>
      </c>
      <c r="E19" s="26">
        <f t="shared" ref="E19:G19" si="0">E18/13</f>
        <v>1.9230769230769231</v>
      </c>
      <c r="F19" s="26">
        <f t="shared" si="0"/>
        <v>2.3076923076923075</v>
      </c>
      <c r="G19" s="26">
        <f t="shared" si="0"/>
        <v>2.3076923076923075</v>
      </c>
      <c r="H19" s="26" t="s">
        <v>4</v>
      </c>
      <c r="I19" s="21">
        <v>0.25</v>
      </c>
      <c r="J19" s="21">
        <v>0.25</v>
      </c>
      <c r="K19" s="21">
        <v>0.25</v>
      </c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6" spans="2:24" x14ac:dyDescent="0.3">
      <c r="F26" s="35" t="s">
        <v>28</v>
      </c>
    </row>
  </sheetData>
  <mergeCells count="6">
    <mergeCell ref="B12:B16"/>
    <mergeCell ref="B4:B7"/>
    <mergeCell ref="B8:B11"/>
    <mergeCell ref="C1:K1"/>
    <mergeCell ref="D2:H2"/>
    <mergeCell ref="I2:K2"/>
  </mergeCells>
  <conditionalFormatting sqref="D4:D16">
    <cfRule type="colorScale" priority="50">
      <colorScale>
        <cfvo type="min"/>
        <cfvo type="formula" val="$D$19/2"/>
        <cfvo type="formula" val="$D$19"/>
        <color rgb="FFFF0000"/>
        <color rgb="FFFFFF00"/>
        <color rgb="FF00B050"/>
      </colorScale>
    </cfRule>
    <cfRule type="colorScale" priority="51">
      <colorScale>
        <cfvo type="min"/>
        <cfvo type="formula" val="&quot;MAX($A$1:$C$10)/2&quot;"/>
        <cfvo type="max"/>
        <color rgb="FFF8696B"/>
        <color rgb="FFFFEB84"/>
        <color rgb="FF63BE7B"/>
      </colorScale>
    </cfRule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16">
    <cfRule type="colorScale" priority="53">
      <colorScale>
        <cfvo type="min"/>
        <cfvo type="formula" val="$E$19/2"/>
        <cfvo type="formula" val="$E$19"/>
        <color rgb="FFFF0000"/>
        <color rgb="FFFFFF00"/>
        <color rgb="FF00B050"/>
      </colorScale>
    </cfRule>
  </conditionalFormatting>
  <conditionalFormatting sqref="F4:F16">
    <cfRule type="colorScale" priority="54">
      <colorScale>
        <cfvo type="min"/>
        <cfvo type="formula" val="$F$19/2"/>
        <cfvo type="formula" val="$F$19"/>
        <color rgb="FFFF0000"/>
        <color rgb="FFFFFF00"/>
        <color rgb="FF00B050"/>
      </colorScale>
    </cfRule>
  </conditionalFormatting>
  <conditionalFormatting sqref="G4:G16">
    <cfRule type="colorScale" priority="55">
      <colorScale>
        <cfvo type="min"/>
        <cfvo type="formula" val="$G$19/2"/>
        <cfvo type="formula" val="$G$19"/>
        <color rgb="FFFF0000"/>
        <color rgb="FFFFFF00"/>
        <color rgb="FF00B050"/>
      </colorScale>
    </cfRule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I16">
    <cfRule type="colorScale" priority="57">
      <colorScale>
        <cfvo type="min"/>
        <cfvo type="formula" val="$I$19/2"/>
        <cfvo type="formula" val="$I$19"/>
        <color rgb="FFFF0000"/>
        <color rgb="FFFFFF00"/>
        <color rgb="FF00B050"/>
      </colorScale>
    </cfRule>
  </conditionalFormatting>
  <conditionalFormatting sqref="J4:J16">
    <cfRule type="colorScale" priority="58">
      <colorScale>
        <cfvo type="min"/>
        <cfvo type="formula" val="$J$19/2"/>
        <cfvo type="formula" val="$J$19"/>
        <color rgb="FFFF0000"/>
        <color rgb="FFFFFF00"/>
        <color rgb="FF00B050"/>
      </colorScale>
    </cfRule>
  </conditionalFormatting>
  <conditionalFormatting sqref="K4:K16">
    <cfRule type="colorScale" priority="59">
      <colorScale>
        <cfvo type="min"/>
        <cfvo type="formula" val="$K$19/2"/>
        <cfvo type="formula" val="$K$19"/>
        <color rgb="FFFF0000"/>
        <color rgb="FFFFFF00"/>
        <color rgb="FF00B050"/>
      </colorScale>
    </cfRule>
  </conditionalFormatting>
  <pageMargins left="0.7" right="0.7" top="0.75" bottom="0.75" header="0.3" footer="0.3"/>
  <pageSetup paperSize="8" scale="88" orientation="landscape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Reputation, Society</vt:lpstr>
      <vt:lpstr>'Reputation, Society'!Print_Area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Lewis, Sabra (IITA)</dc:creator>
  <cp:lastModifiedBy>Devari, Aalakh (SI EA R&amp;D AU SDA)</cp:lastModifiedBy>
  <dcterms:created xsi:type="dcterms:W3CDTF">2026-04-08T13:56:26Z</dcterms:created>
  <dcterms:modified xsi:type="dcterms:W3CDTF">2026-04-13T17:41:05Z</dcterms:modified>
</cp:coreProperties>
</file>