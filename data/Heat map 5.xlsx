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ECB6EAC8-AC86-4F10-801A-350B01AC7F5D}" xr6:coauthVersionLast="47" xr6:coauthVersionMax="47" xr10:uidLastSave="{00000000-0000-0000-0000-000000000000}"/>
  <bookViews>
    <workbookView xWindow="28695" yWindow="0" windowWidth="14610" windowHeight="17385" xr2:uid="{00000000-000D-0000-FFFF-FFFF00000000}"/>
  </bookViews>
  <sheets>
    <sheet name="Reputation, Society" sheetId="1" r:id="rId1"/>
  </sheets>
  <definedNames>
    <definedName name="_Hlk200085589" localSheetId="0">'Reputation, Society'!#REF!</definedName>
    <definedName name="_xlnm.Print_Area" localSheetId="0">'Reputation, Society'!$B$1:$L$19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/>
  <c r="K17" i="1"/>
  <c r="G19" i="1"/>
  <c r="F19" i="1"/>
  <c r="E19" i="1"/>
  <c r="D19" i="1"/>
  <c r="G17" i="1"/>
  <c r="F17" i="1"/>
  <c r="E17" i="1"/>
  <c r="D17" i="1"/>
</calcChain>
</file>

<file path=xl/sharedStrings.xml><?xml version="1.0" encoding="utf-8"?>
<sst xmlns="http://schemas.openxmlformats.org/spreadsheetml/2006/main" count="34" uniqueCount="31">
  <si>
    <t>KPI by Nr.</t>
  </si>
  <si>
    <t>Recognition and Reputation</t>
  </si>
  <si>
    <t>Society Impact &amp; Inclusion</t>
  </si>
  <si>
    <t>ARIs collaborations</t>
  </si>
  <si>
    <t>Active collaborations with scaling partners</t>
  </si>
  <si>
    <t>Awards grated to IITA stafff</t>
  </si>
  <si>
    <t>Invitations to give seminars/talks</t>
  </si>
  <si>
    <t>High level engagements</t>
  </si>
  <si>
    <t>Approved proposals with GeYSI components</t>
  </si>
  <si>
    <t>Approved proposals with climate components</t>
  </si>
  <si>
    <t>Approved proposals with nutrition and health components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</si>
  <si>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</si>
  <si>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</si>
  <si>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</si>
  <si>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</si>
  <si>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</si>
  <si>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</si>
  <si>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</si>
  <si>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</si>
  <si>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</si>
  <si>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NRM</t>
  </si>
  <si>
    <t>Mechanization</t>
  </si>
  <si>
    <t>ST</t>
  </si>
  <si>
    <t>FIAS</t>
  </si>
  <si>
    <t>GeYSI</t>
  </si>
  <si>
    <t>RCA</t>
  </si>
  <si>
    <t>Nutrition</t>
  </si>
  <si>
    <t>VCMA</t>
  </si>
  <si>
    <t>2025 Actual Values</t>
  </si>
  <si>
    <t>Annual Target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</si>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</sst>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.0"/>
    <numFmt numFmtId="165" formatCode="_(* #,##0_);_(* \(#,##0\);_(* &quot;-&quot;??_);_(@_)"/>
    <numFmt numFmtId="169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70C0"/>
      <name val="Calibri"/>
      <family val="2"/>
    </font>
    <font>
      <b/>
      <sz val="9"/>
      <color rgb="FF00B0F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rgb="FF00B050"/>
      <name val="Calibri"/>
      <family val="2"/>
    </font>
    <font>
      <b/>
      <sz val="9"/>
      <color rgb="FF00B050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B05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/>
    <xf numFmtId="9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 applyAlignment="1">
      <alignment vertical="top"/>
    </xf>
    <xf numFmtId="0" fontId="4" fillId="2" borderId="4" xfId="0" applyFont="1" applyFill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164" fontId="5" fillId="0" borderId="0" xfId="0" applyNumberFormat="1" applyFont="1" applyAlignment="1">
      <alignment vertical="top"/>
    </xf>
    <xf numFmtId="0" fontId="5" fillId="0" borderId="0" xfId="0" applyFont="1" applyAlignment="1">
      <alignment vertical="top"/>
    </xf>
    <xf numFmtId="0" fontId="2" fillId="0" borderId="4" xfId="0" applyFont="1" applyBorder="1" applyAlignment="1">
      <alignment horizontal="left" vertical="top"/>
    </xf>
    <xf numFmtId="0" fontId="6" fillId="0" borderId="10" xfId="0" applyFont="1" applyBorder="1" applyAlignment="1">
      <alignment horizontal="left" textRotation="90" wrapText="1" readingOrder="1"/>
    </xf>
    <xf numFmtId="0" fontId="6" fillId="0" borderId="11" xfId="0" applyFont="1" applyBorder="1" applyAlignment="1">
      <alignment horizontal="left" textRotation="90" wrapText="1" readingOrder="1"/>
    </xf>
    <xf numFmtId="0" fontId="6" fillId="0" borderId="12" xfId="0" applyFont="1" applyBorder="1" applyAlignment="1">
      <alignment horizontal="left" textRotation="90" wrapText="1" readingOrder="1"/>
    </xf>
    <xf numFmtId="0" fontId="6" fillId="0" borderId="8" xfId="0" applyFont="1" applyBorder="1" applyAlignment="1">
      <alignment horizontal="left" textRotation="90" wrapText="1" readingOrder="1"/>
    </xf>
    <xf numFmtId="0" fontId="6" fillId="0" borderId="2" xfId="0" applyFont="1" applyBorder="1" applyAlignment="1">
      <alignment horizontal="left" textRotation="90" wrapText="1" readingOrder="1"/>
    </xf>
    <xf numFmtId="0" fontId="6" fillId="0" borderId="3" xfId="0" applyFont="1" applyBorder="1" applyAlignment="1">
      <alignment horizontal="left" textRotation="90" wrapText="1" readingOrder="1"/>
    </xf>
    <xf numFmtId="0" fontId="6" fillId="0" borderId="0" xfId="0" applyFont="1" applyAlignment="1">
      <alignment horizontal="center" textRotation="90" wrapText="1" readingOrder="1"/>
    </xf>
    <xf numFmtId="164" fontId="7" fillId="0" borderId="0" xfId="0" applyNumberFormat="1" applyFont="1"/>
    <xf numFmtId="0" fontId="7" fillId="0" borderId="0" xfId="0" applyFont="1"/>
    <xf numFmtId="0" fontId="6" fillId="0" borderId="14" xfId="0" applyFont="1" applyBorder="1" applyAlignment="1">
      <alignment horizontal="left" vertical="center" wrapText="1"/>
    </xf>
    <xf numFmtId="164" fontId="2" fillId="0" borderId="10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164" fontId="2" fillId="0" borderId="12" xfId="1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164" fontId="8" fillId="0" borderId="0" xfId="0" applyNumberFormat="1" applyFont="1"/>
    <xf numFmtId="0" fontId="8" fillId="0" borderId="0" xfId="0" applyFont="1"/>
    <xf numFmtId="0" fontId="6" fillId="0" borderId="16" xfId="0" applyFont="1" applyBorder="1" applyAlignment="1">
      <alignment horizontal="left" vertical="center" wrapText="1"/>
    </xf>
    <xf numFmtId="0" fontId="6" fillId="0" borderId="18" xfId="0" applyFont="1" applyBorder="1" applyAlignment="1">
      <alignment horizontal="left" vertical="center" wrapText="1"/>
    </xf>
    <xf numFmtId="164" fontId="2" fillId="0" borderId="20" xfId="1" applyNumberFormat="1" applyFont="1" applyBorder="1" applyAlignment="1">
      <alignment horizontal="center" vertical="center"/>
    </xf>
    <xf numFmtId="164" fontId="2" fillId="0" borderId="21" xfId="1" applyNumberFormat="1" applyFont="1" applyBorder="1" applyAlignment="1">
      <alignment horizontal="center" vertical="center"/>
    </xf>
    <xf numFmtId="164" fontId="2" fillId="2" borderId="11" xfId="1" applyNumberFormat="1" applyFont="1" applyFill="1" applyBorder="1" applyAlignment="1">
      <alignment horizontal="center" vertical="center"/>
    </xf>
    <xf numFmtId="164" fontId="2" fillId="0" borderId="24" xfId="1" applyNumberFormat="1" applyFont="1" applyBorder="1" applyAlignment="1">
      <alignment horizontal="center" vertical="center"/>
    </xf>
    <xf numFmtId="164" fontId="2" fillId="2" borderId="20" xfId="1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right"/>
    </xf>
    <xf numFmtId="165" fontId="9" fillId="0" borderId="0" xfId="1" applyNumberFormat="1" applyFont="1" applyAlignment="1">
      <alignment horizontal="right"/>
    </xf>
    <xf numFmtId="9" fontId="9" fillId="0" borderId="0" xfId="2" applyFont="1" applyAlignment="1">
      <alignment horizontal="right"/>
    </xf>
    <xf numFmtId="165" fontId="9" fillId="0" borderId="0" xfId="1" applyNumberFormat="1" applyFont="1" applyAlignment="1">
      <alignment horizontal="center"/>
    </xf>
    <xf numFmtId="164" fontId="10" fillId="0" borderId="0" xfId="0" applyNumberFormat="1" applyFont="1"/>
    <xf numFmtId="0" fontId="11" fillId="0" borderId="0" xfId="0" applyFont="1"/>
    <xf numFmtId="0" fontId="3" fillId="0" borderId="0" xfId="0" applyFont="1" applyAlignment="1">
      <alignment horizontal="right"/>
    </xf>
    <xf numFmtId="165" fontId="3" fillId="0" borderId="0" xfId="1" applyNumberFormat="1" applyFont="1" applyAlignment="1">
      <alignment horizontal="right"/>
    </xf>
    <xf numFmtId="9" fontId="3" fillId="0" borderId="0" xfId="2" applyFont="1" applyAlignment="1">
      <alignment horizontal="right"/>
    </xf>
    <xf numFmtId="0" fontId="3" fillId="0" borderId="0" xfId="0" applyFont="1" applyAlignment="1">
      <alignment horizontal="center"/>
    </xf>
    <xf numFmtId="164" fontId="12" fillId="0" borderId="0" xfId="0" applyNumberFormat="1" applyFont="1"/>
    <xf numFmtId="0" fontId="12" fillId="0" borderId="0" xfId="0" applyFont="1"/>
    <xf numFmtId="2" fontId="3" fillId="0" borderId="0" xfId="0" applyNumberFormat="1" applyFont="1" applyAlignment="1">
      <alignment horizontal="right"/>
    </xf>
    <xf numFmtId="165" fontId="2" fillId="0" borderId="0" xfId="1" applyNumberFormat="1" applyFont="1"/>
    <xf numFmtId="9" fontId="2" fillId="0" borderId="0" xfId="2" applyFont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0" borderId="8" xfId="0" applyBorder="1"/>
    <xf numFmtId="0" fontId="0" fillId="0" borderId="26" xfId="0" applyBorder="1"/>
    <xf numFmtId="0" fontId="3" fillId="2" borderId="9" xfId="0" applyFont="1" applyFill="1" applyBorder="1" applyAlignment="1">
      <alignment horizontal="center" vertical="top" wrapText="1"/>
    </xf>
    <xf numFmtId="0" fontId="0" fillId="0" borderId="9" xfId="0" applyBorder="1"/>
    <xf numFmtId="0" fontId="3" fillId="2" borderId="13" xfId="0" applyFont="1" applyFill="1" applyBorder="1" applyAlignment="1">
      <alignment horizontal="center" vertical="center" textRotation="90"/>
    </xf>
    <xf numFmtId="0" fontId="0" fillId="0" borderId="22" xfId="0" applyBorder="1"/>
    <xf numFmtId="0" fontId="0" fillId="0" borderId="25" xfId="0" applyBorder="1"/>
    <xf numFmtId="0" fontId="3" fillId="2" borderId="5" xfId="0" applyFont="1" applyFill="1" applyBorder="1" applyAlignment="1">
      <alignment horizontal="center" vertical="top" wrapText="1"/>
    </xf>
    <xf numFmtId="0" fontId="0" fillId="0" borderId="27" xfId="0" applyBorder="1"/>
    <xf numFmtId="0" fontId="0" fillId="0" borderId="15" xfId="0" applyBorder="1"/>
    <xf numFmtId="0" fontId="3" fillId="2" borderId="4" xfId="0" applyFont="1" applyFill="1" applyBorder="1" applyAlignment="1">
      <alignment horizontal="center" vertical="center" textRotation="90"/>
    </xf>
    <xf numFmtId="0" fontId="0" fillId="0" borderId="23" xfId="0" applyBorder="1"/>
    <xf numFmtId="169" fontId="2" fillId="0" borderId="15" xfId="4" applyNumberFormat="1" applyFont="1" applyBorder="1" applyAlignment="1">
      <alignment horizontal="center" vertical="center"/>
    </xf>
    <xf numFmtId="169" fontId="2" fillId="0" borderId="6" xfId="4" applyNumberFormat="1" applyFont="1" applyBorder="1" applyAlignment="1">
      <alignment horizontal="center" vertical="center"/>
    </xf>
    <xf numFmtId="169" fontId="2" fillId="0" borderId="7" xfId="4" applyNumberFormat="1" applyFont="1" applyBorder="1" applyAlignment="1">
      <alignment horizontal="center" vertical="center"/>
    </xf>
    <xf numFmtId="169" fontId="2" fillId="0" borderId="17" xfId="4" applyNumberFormat="1" applyFont="1" applyBorder="1" applyAlignment="1">
      <alignment horizontal="center" vertical="center"/>
    </xf>
    <xf numFmtId="169" fontId="2" fillId="0" borderId="11" xfId="4" applyNumberFormat="1" applyFont="1" applyBorder="1" applyAlignment="1">
      <alignment horizontal="center" vertical="center"/>
    </xf>
    <xf numFmtId="169" fontId="2" fillId="0" borderId="12" xfId="4" applyNumberFormat="1" applyFont="1" applyBorder="1" applyAlignment="1">
      <alignment horizontal="center" vertical="center"/>
    </xf>
    <xf numFmtId="169" fontId="2" fillId="0" borderId="19" xfId="4" applyNumberFormat="1" applyFont="1" applyBorder="1" applyAlignment="1">
      <alignment horizontal="center" vertical="center"/>
    </xf>
    <xf numFmtId="169" fontId="2" fillId="0" borderId="20" xfId="4" applyNumberFormat="1" applyFont="1" applyBorder="1" applyAlignment="1">
      <alignment horizontal="center" vertical="center"/>
    </xf>
    <xf numFmtId="169" fontId="2" fillId="0" borderId="21" xfId="4" applyNumberFormat="1" applyFont="1" applyBorder="1" applyAlignment="1">
      <alignment horizontal="center" vertical="center"/>
    </xf>
  </cellXfs>
  <cellStyles count="5">
    <cellStyle name="Comma" xfId="1" builtinId="3"/>
    <cellStyle name="Comma 2" xfId="3" xr:uid="{8F5BA9A4-0180-472C-9FA0-1AB0EADDA468}"/>
    <cellStyle name="Normal" xfId="0" builtinId="0"/>
    <cellStyle name="Percent" xfId="2" builtinId="5"/>
    <cellStyle name="Percent 2" xfId="4" xr:uid="{AB8EF1BB-5864-448F-A670-6049F275543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AB19"/>
  <sheetViews>
    <sheetView tabSelected="1" zoomScale="115" zoomScaleNormal="115" zoomScaleSheetLayoutView="75" workbookViewId="0">
      <pane ySplit="3" topLeftCell="A4" activePane="bottomLeft" state="frozen"/>
      <selection activeCell="B1" sqref="B1:O20"/>
      <selection pane="bottomLeft" activeCell="J10" sqref="J10"/>
    </sheetView>
  </sheetViews>
  <sheetFormatPr defaultRowHeight="14.4" x14ac:dyDescent="0.3"/>
  <cols>
    <col min="1" max="1" width="4.21875" style="25" customWidth="1"/>
    <col min="2" max="2" width="3.21875" style="25" bestFit="1" customWidth="1"/>
    <col min="3" max="3" width="23.77734375" style="33" customWidth="1"/>
    <col min="4" max="5" width="9.77734375" style="48" customWidth="1"/>
    <col min="6" max="6" width="9.77734375" style="49" customWidth="1"/>
    <col min="7" max="11" width="9.77734375" style="2" customWidth="1"/>
    <col min="12" max="12" width="5.6640625" style="2" customWidth="1"/>
    <col min="13" max="14" width="8.21875" style="3" customWidth="1"/>
  </cols>
  <sheetData>
    <row r="1" spans="1:14" ht="15" customHeight="1" thickBot="1" x14ac:dyDescent="0.35">
      <c r="A1" s="1"/>
      <c r="B1" s="1"/>
      <c r="C1" s="50" t="s">
        <v>0</v>
      </c>
      <c r="D1" s="51"/>
      <c r="E1" s="51"/>
      <c r="F1" s="51"/>
      <c r="G1" s="51"/>
      <c r="H1" s="51"/>
      <c r="I1" s="51"/>
      <c r="J1" s="51"/>
      <c r="K1" s="52"/>
    </row>
    <row r="2" spans="1:14" s="8" customFormat="1" ht="25.95" customHeight="1" thickBot="1" x14ac:dyDescent="0.35">
      <c r="A2" s="4"/>
      <c r="B2" s="4"/>
      <c r="C2" s="5"/>
      <c r="D2" s="58" t="s">
        <v>1</v>
      </c>
      <c r="E2" s="59"/>
      <c r="F2" s="59"/>
      <c r="G2" s="59"/>
      <c r="H2" s="60"/>
      <c r="I2" s="53" t="s">
        <v>2</v>
      </c>
      <c r="J2" s="51"/>
      <c r="K2" s="54"/>
      <c r="L2" s="6"/>
      <c r="M2" s="7"/>
      <c r="N2" s="7"/>
    </row>
    <row r="3" spans="1:14" s="18" customFormat="1" ht="132" customHeight="1" thickBot="1" x14ac:dyDescent="0.3">
      <c r="A3" s="1"/>
      <c r="B3" s="1"/>
      <c r="C3" s="9"/>
      <c r="D3" s="10" t="s">
        <v>3</v>
      </c>
      <c r="E3" s="11" t="s">
        <v>4</v>
      </c>
      <c r="F3" s="11" t="s">
        <v>5</v>
      </c>
      <c r="G3" s="11" t="s">
        <v>6</v>
      </c>
      <c r="H3" s="12" t="s">
        <v>7</v>
      </c>
      <c r="I3" s="13" t="s">
        <v>8</v>
      </c>
      <c r="J3" s="14" t="s">
        <v>9</v>
      </c>
      <c r="K3" s="15" t="s">
        <v>10</v>
      </c>
      <c r="L3" s="16"/>
      <c r="M3" s="17"/>
      <c r="N3" s="17"/>
    </row>
    <row r="4" spans="1:14" s="25" customFormat="1" ht="15.6" customHeight="1" thickBot="1" x14ac:dyDescent="0.3">
      <c r="A4" s="1"/>
      <c r="B4" s="55" t="s">
        <v>11</v>
      </c>
      <c r="C4" s="19" t="s">
        <v>12</v>
      </c>
      <c r="D4" s="20">
        <v>17</v>
      </c>
      <c r="E4" s="21" t="s">
        <v>13</v>
      </c>
      <c r="F4" s="21">
        <v>1</v>
      </c>
      <c r="G4" s="21">
        <v>0</v>
      </c>
      <c r="H4" s="22"/>
      <c r="I4" s="63">
        <v>0</v>
      </c>
      <c r="J4" s="64">
        <v>0</v>
      </c>
      <c r="K4" s="65">
        <v>0</v>
      </c>
      <c r="L4" s="23"/>
      <c r="M4" s="24"/>
      <c r="N4" s="24"/>
    </row>
    <row r="5" spans="1:14" s="25" customFormat="1" ht="15.6" customHeight="1" x14ac:dyDescent="0.25">
      <c r="A5" s="1"/>
      <c r="B5" s="56"/>
      <c r="C5" s="26" t="s">
        <v>14</v>
      </c>
      <c r="D5" s="20">
        <v>23</v>
      </c>
      <c r="E5" s="21" t="s">
        <v>13</v>
      </c>
      <c r="F5" s="21">
        <v>0</v>
      </c>
      <c r="G5" s="21">
        <v>3</v>
      </c>
      <c r="H5" s="22"/>
      <c r="I5" s="66">
        <v>5.5555555555555552E-2</v>
      </c>
      <c r="J5" s="67">
        <v>2.7777777777777776E-2</v>
      </c>
      <c r="K5" s="65">
        <v>5.5555555555555552E-2</v>
      </c>
      <c r="L5" s="23"/>
      <c r="M5" s="24"/>
      <c r="N5" s="24"/>
    </row>
    <row r="6" spans="1:14" s="25" customFormat="1" ht="15.6" customHeight="1" x14ac:dyDescent="0.25">
      <c r="A6" s="1"/>
      <c r="B6" s="56"/>
      <c r="C6" s="26" t="s">
        <v>15</v>
      </c>
      <c r="D6" s="20">
        <v>19</v>
      </c>
      <c r="E6" s="21" t="s">
        <v>13</v>
      </c>
      <c r="F6" s="21">
        <v>0</v>
      </c>
      <c r="G6" s="21">
        <v>1</v>
      </c>
      <c r="H6" s="22"/>
      <c r="I6" s="66">
        <v>0</v>
      </c>
      <c r="J6" s="67">
        <v>0</v>
      </c>
      <c r="K6" s="68">
        <v>0</v>
      </c>
      <c r="L6" s="23"/>
      <c r="M6" s="24"/>
      <c r="N6" s="24"/>
    </row>
    <row r="7" spans="1:14" s="25" customFormat="1" ht="15.6" customHeight="1" thickBot="1" x14ac:dyDescent="0.3">
      <c r="A7" s="1"/>
      <c r="B7" s="57"/>
      <c r="C7" s="27" t="s">
        <v>16</v>
      </c>
      <c r="D7" s="20">
        <v>0</v>
      </c>
      <c r="E7" s="21">
        <v>14</v>
      </c>
      <c r="F7" s="21">
        <v>3</v>
      </c>
      <c r="G7" s="21">
        <v>0</v>
      </c>
      <c r="H7" s="22"/>
      <c r="I7" s="69">
        <v>8.3333333333333329E-2</v>
      </c>
      <c r="J7" s="70">
        <v>5.5555555555555552E-2</v>
      </c>
      <c r="K7" s="71">
        <v>2.7777777777777776E-2</v>
      </c>
      <c r="L7" s="23"/>
      <c r="M7" s="24"/>
      <c r="N7" s="24"/>
    </row>
    <row r="8" spans="1:14" s="25" customFormat="1" ht="15.6" customHeight="1" x14ac:dyDescent="0.25">
      <c r="A8" s="1"/>
      <c r="B8" s="55" t="s">
        <v>17</v>
      </c>
      <c r="C8" s="19" t="s">
        <v>18</v>
      </c>
      <c r="D8" s="20">
        <v>18</v>
      </c>
      <c r="E8" s="21">
        <v>1</v>
      </c>
      <c r="F8" s="21">
        <v>3</v>
      </c>
      <c r="G8" s="21">
        <v>5</v>
      </c>
      <c r="H8" s="22"/>
      <c r="I8" s="63">
        <v>2.7777777777777776E-2</v>
      </c>
      <c r="J8" s="64">
        <v>2.7777777777777776E-2</v>
      </c>
      <c r="K8" s="65">
        <v>0</v>
      </c>
      <c r="L8" s="23"/>
      <c r="M8" s="24"/>
      <c r="N8" s="24"/>
    </row>
    <row r="9" spans="1:14" s="25" customFormat="1" ht="15.6" customHeight="1" thickBot="1" x14ac:dyDescent="0.3">
      <c r="A9" s="1"/>
      <c r="B9" s="56"/>
      <c r="C9" s="26" t="s">
        <v>19</v>
      </c>
      <c r="D9" s="20">
        <v>43</v>
      </c>
      <c r="E9" s="21">
        <v>17</v>
      </c>
      <c r="F9" s="21">
        <v>0</v>
      </c>
      <c r="G9" s="21">
        <v>3</v>
      </c>
      <c r="H9" s="22"/>
      <c r="I9" s="66">
        <v>0.1111111111111111</v>
      </c>
      <c r="J9" s="67">
        <v>0.1111111111111111</v>
      </c>
      <c r="K9" s="71">
        <v>2.7777777777777776E-2</v>
      </c>
      <c r="L9" s="23"/>
      <c r="M9" s="24"/>
      <c r="N9" s="24"/>
    </row>
    <row r="10" spans="1:14" s="25" customFormat="1" ht="15.6" customHeight="1" x14ac:dyDescent="0.25">
      <c r="A10" s="1"/>
      <c r="B10" s="56"/>
      <c r="C10" s="26" t="s">
        <v>20</v>
      </c>
      <c r="D10" s="20">
        <v>0</v>
      </c>
      <c r="E10" s="21">
        <v>3</v>
      </c>
      <c r="F10" s="21">
        <v>0</v>
      </c>
      <c r="G10" s="21">
        <v>0</v>
      </c>
      <c r="H10" s="22"/>
      <c r="I10" s="66">
        <v>0.1111111111111111</v>
      </c>
      <c r="J10" s="67">
        <v>0.1388888888888889</v>
      </c>
      <c r="K10" s="68">
        <v>0</v>
      </c>
      <c r="L10" s="23"/>
      <c r="M10" s="24"/>
      <c r="N10" s="24"/>
    </row>
    <row r="11" spans="1:14" s="25" customFormat="1" ht="15.6" customHeight="1" thickBot="1" x14ac:dyDescent="0.3">
      <c r="A11" s="1"/>
      <c r="B11" s="57"/>
      <c r="C11" s="27" t="s">
        <v>21</v>
      </c>
      <c r="D11" s="20">
        <v>0</v>
      </c>
      <c r="E11" s="21">
        <v>0</v>
      </c>
      <c r="F11" s="21">
        <v>0</v>
      </c>
      <c r="G11" s="21">
        <v>0</v>
      </c>
      <c r="H11" s="22"/>
      <c r="I11" s="69">
        <v>0</v>
      </c>
      <c r="J11" s="70">
        <v>0</v>
      </c>
      <c r="K11" s="71">
        <v>0</v>
      </c>
      <c r="L11" s="23"/>
      <c r="M11" s="24"/>
      <c r="N11" s="24"/>
    </row>
    <row r="12" spans="1:14" s="25" customFormat="1" ht="15.6" customHeight="1" thickBot="1" x14ac:dyDescent="0.3">
      <c r="A12" s="1"/>
      <c r="B12" s="61" t="s">
        <v>22</v>
      </c>
      <c r="C12" s="19" t="s">
        <v>23</v>
      </c>
      <c r="D12" s="20">
        <v>7</v>
      </c>
      <c r="E12" s="30">
        <v>0</v>
      </c>
      <c r="F12" s="30">
        <v>0</v>
      </c>
      <c r="G12" s="21">
        <v>0</v>
      </c>
      <c r="H12" s="22"/>
      <c r="I12" s="63">
        <v>0</v>
      </c>
      <c r="J12" s="64">
        <v>0</v>
      </c>
      <c r="K12" s="65">
        <v>0</v>
      </c>
      <c r="L12" s="23"/>
      <c r="M12" s="24"/>
      <c r="N12" s="24"/>
    </row>
    <row r="13" spans="1:14" s="25" customFormat="1" ht="15.6" customHeight="1" x14ac:dyDescent="0.25">
      <c r="A13" s="1"/>
      <c r="B13" s="56"/>
      <c r="C13" s="26" t="s">
        <v>24</v>
      </c>
      <c r="D13" s="20">
        <v>0</v>
      </c>
      <c r="E13" s="30">
        <v>0</v>
      </c>
      <c r="F13" s="30">
        <v>0</v>
      </c>
      <c r="G13" s="21">
        <v>3</v>
      </c>
      <c r="H13" s="22"/>
      <c r="I13" s="66">
        <v>0</v>
      </c>
      <c r="J13" s="67">
        <v>0</v>
      </c>
      <c r="K13" s="68">
        <v>0</v>
      </c>
      <c r="L13" s="23"/>
      <c r="M13" s="24"/>
      <c r="N13" s="24"/>
    </row>
    <row r="14" spans="1:14" s="25" customFormat="1" ht="15.6" customHeight="1" x14ac:dyDescent="0.25">
      <c r="A14" s="1"/>
      <c r="B14" s="56"/>
      <c r="C14" s="26" t="s">
        <v>25</v>
      </c>
      <c r="D14" s="20">
        <v>6</v>
      </c>
      <c r="E14" s="30">
        <v>3</v>
      </c>
      <c r="F14" s="30">
        <v>0</v>
      </c>
      <c r="G14" s="21">
        <v>3</v>
      </c>
      <c r="H14" s="22"/>
      <c r="I14" s="66">
        <v>0</v>
      </c>
      <c r="J14" s="67">
        <v>0</v>
      </c>
      <c r="K14" s="68">
        <v>0</v>
      </c>
      <c r="L14" s="23"/>
      <c r="M14" s="24"/>
      <c r="N14" s="24"/>
    </row>
    <row r="15" spans="1:14" s="25" customFormat="1" ht="15.6" customHeight="1" x14ac:dyDescent="0.25">
      <c r="A15" s="1"/>
      <c r="B15" s="56"/>
      <c r="C15" s="26" t="s">
        <v>26</v>
      </c>
      <c r="D15" s="20">
        <v>7</v>
      </c>
      <c r="E15" s="30">
        <v>0</v>
      </c>
      <c r="F15" s="30">
        <v>0</v>
      </c>
      <c r="G15" s="21">
        <v>0</v>
      </c>
      <c r="H15" s="22"/>
      <c r="I15" s="66">
        <v>0</v>
      </c>
      <c r="J15" s="67">
        <v>0</v>
      </c>
      <c r="K15" s="68">
        <v>0</v>
      </c>
      <c r="L15" s="23"/>
      <c r="M15" s="24"/>
      <c r="N15" s="24"/>
    </row>
    <row r="16" spans="1:14" s="25" customFormat="1" ht="15.45" customHeight="1" thickBot="1" x14ac:dyDescent="0.3">
      <c r="A16" s="1"/>
      <c r="B16" s="62"/>
      <c r="C16" s="27" t="s">
        <v>27</v>
      </c>
      <c r="D16" s="31">
        <v>0</v>
      </c>
      <c r="E16" s="32">
        <v>0</v>
      </c>
      <c r="F16" s="32">
        <v>1</v>
      </c>
      <c r="G16" s="28">
        <v>0</v>
      </c>
      <c r="H16" s="29"/>
      <c r="I16" s="69">
        <v>2.7777777777777776E-2</v>
      </c>
      <c r="J16" s="70">
        <v>0</v>
      </c>
      <c r="K16" s="71">
        <v>0</v>
      </c>
      <c r="L16" s="23"/>
      <c r="M16" s="24"/>
      <c r="N16" s="24"/>
    </row>
    <row r="17" spans="1:28" s="39" customFormat="1" ht="12" customHeight="1" x14ac:dyDescent="0.25">
      <c r="A17" s="34"/>
      <c r="B17" s="34"/>
      <c r="C17" s="35" t="s">
        <v>28</v>
      </c>
      <c r="D17" s="36">
        <f>SUM(D4:D16)</f>
        <v>140</v>
      </c>
      <c r="E17" s="36">
        <f>SUM(E4:E16)</f>
        <v>38</v>
      </c>
      <c r="F17" s="36">
        <f>SUM(F4:F16)</f>
        <v>8</v>
      </c>
      <c r="G17" s="36">
        <f>SUM(G4:G16)</f>
        <v>18</v>
      </c>
      <c r="H17" s="36">
        <v>30</v>
      </c>
      <c r="I17" s="37">
        <f>SUM(I4:I16)</f>
        <v>0.41666666666666669</v>
      </c>
      <c r="J17" s="37">
        <f>SUM(J4:J16)</f>
        <v>0.3611111111111111</v>
      </c>
      <c r="K17" s="37">
        <f>SUM(K4:K16)</f>
        <v>0.1111111111111111</v>
      </c>
      <c r="L17" s="38"/>
    </row>
    <row r="18" spans="1:28" s="46" customFormat="1" x14ac:dyDescent="0.3">
      <c r="A18" s="40"/>
      <c r="B18" s="40"/>
      <c r="C18" s="41" t="s">
        <v>29</v>
      </c>
      <c r="D18" s="42">
        <v>30</v>
      </c>
      <c r="E18" s="41">
        <v>25</v>
      </c>
      <c r="F18" s="42">
        <v>30</v>
      </c>
      <c r="G18" s="42">
        <v>30</v>
      </c>
      <c r="H18" s="41">
        <v>15</v>
      </c>
      <c r="I18" s="43">
        <v>0.25</v>
      </c>
      <c r="J18" s="43">
        <v>0.25</v>
      </c>
      <c r="K18" s="43">
        <v>0.25</v>
      </c>
      <c r="L18" s="44"/>
      <c r="M18" s="45"/>
      <c r="N18" s="45"/>
    </row>
    <row r="19" spans="1:28" s="46" customFormat="1" ht="13.2" customHeight="1" x14ac:dyDescent="0.3">
      <c r="A19" s="40"/>
      <c r="B19" s="40"/>
      <c r="C19" s="41" t="s">
        <v>30</v>
      </c>
      <c r="D19" s="47">
        <f>D18/13</f>
        <v>2.3076923076923075</v>
      </c>
      <c r="E19" s="47">
        <f>E18/13</f>
        <v>1.9230769230769231</v>
      </c>
      <c r="F19" s="47">
        <f>F18/13</f>
        <v>2.3076923076923075</v>
      </c>
      <c r="G19" s="47">
        <f>G18/13</f>
        <v>2.3076923076923075</v>
      </c>
      <c r="H19" s="47" t="s">
        <v>13</v>
      </c>
      <c r="I19" s="43">
        <v>0.25</v>
      </c>
      <c r="J19" s="43">
        <v>0.25</v>
      </c>
      <c r="K19" s="43">
        <v>0.25</v>
      </c>
      <c r="L19" s="44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</row>
  </sheetData>
  <mergeCells count="6">
    <mergeCell ref="B12:B16"/>
    <mergeCell ref="C1:K1"/>
    <mergeCell ref="I2:K2"/>
    <mergeCell ref="B8:B11"/>
    <mergeCell ref="D2:H2"/>
    <mergeCell ref="B4:B7"/>
  </mergeCells>
  <conditionalFormatting sqref="D4:D16">
    <cfRule type="colorScale" priority="40">
      <colorScale>
        <cfvo type="min"/>
        <cfvo type="formula" val="$D$19/2"/>
        <cfvo type="formula" val="$D$19"/>
        <color rgb="FFFF0000"/>
        <color rgb="FFFFFF00"/>
        <color rgb="FF00B050"/>
      </colorScale>
    </cfRule>
    <cfRule type="colorScale" priority="41">
      <colorScale>
        <cfvo type="min"/>
        <cfvo type="formula" val="&quot;MAX($A$1:$C$10)/2&quot;"/>
        <cfvo type="max"/>
        <color rgb="FFF8696B"/>
        <color rgb="FFFFEB84"/>
        <color rgb="FF63BE7B"/>
      </colorScale>
    </cfRule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6">
    <cfRule type="colorScale" priority="43">
      <colorScale>
        <cfvo type="min"/>
        <cfvo type="formula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44">
      <colorScale>
        <cfvo type="min"/>
        <cfvo type="formula" val="$F$19/2"/>
        <cfvo type="formula" val="$F$19"/>
        <color rgb="FFFF0000"/>
        <color rgb="FFFFFF00"/>
        <color rgb="FF00B050"/>
      </colorScale>
    </cfRule>
  </conditionalFormatting>
  <conditionalFormatting sqref="G4:G16">
    <cfRule type="colorScale" priority="45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16">
    <cfRule type="colorScale" priority="47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48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4:K16">
    <cfRule type="colorScale" priority="49">
      <colorScale>
        <cfvo type="min"/>
        <cfvo type="formula" val="$K$19/2"/>
        <cfvo type="formula" val="$K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88" orientation="landscape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Reputation, Society</vt:lpstr>
      <vt:lpstr>'Reputation, Society'!Print_Area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2026-04-08T13:56:26Z</dcterms:created>
  <dcterms:modified xsi:type="dcterms:W3CDTF">2026-04-09T14:53:06Z</dcterms:modified>
</cp:coreProperties>
</file>