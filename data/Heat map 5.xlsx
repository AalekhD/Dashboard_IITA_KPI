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4" documentId="8_{A20CC070-EDC6-4CDB-927C-3F513ED4C2FB}" xr6:coauthVersionLast="47" xr6:coauthVersionMax="47" xr10:uidLastSave="{AC4FA62C-4147-4884-A9AB-CDD7F29E24A8}"/>
  <bookViews>
    <workbookView xWindow="-110" yWindow="-110" windowWidth="19420" windowHeight="10300" xr2:uid="{9DC939E2-9D2B-49F9-96FE-7432C9E71486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Society'!$A$1:$K$19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E19" i="1"/>
  <c r="D19" i="1"/>
  <c r="C19" i="1"/>
  <c r="F17" i="1"/>
  <c r="E17" i="1"/>
  <c r="D17" i="1"/>
  <c r="C17" i="1"/>
</calcChain>
</file>

<file path=xl/sharedStrings.xml><?xml version="1.0" encoding="utf-8"?>
<sst xmlns="http://schemas.openxmlformats.org/spreadsheetml/2006/main" count="55" uniqueCount="36">
  <si>
    <t>KPI by Nr.</t>
  </si>
  <si>
    <t>Recognition and Reputation</t>
  </si>
  <si>
    <t>Society Impact &amp; Inclusion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</si>
  <si>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</si>
  <si>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</si>
  <si>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</si>
  <si>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</si>
  <si>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</si>
  <si>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</si>
  <si>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</si>
  <si>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</si>
  <si>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</si>
  <si>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</si>
  <si>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>The data on partners are not correct at all, Sabra!!! We can only present correctc information!</t>
  </si>
  <si>
    <t>For columns E, G, how can a value be 2.5??? This does not make sense really</t>
  </si>
  <si>
    <t>It is also critical to complete the missing information in columns F and H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</si>
  <si>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</si>
  <si>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</si>
  <si>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</si>
  <si>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</si>
  <si>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</si>
  <si>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</si>
  <si>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Approved proposals with climate components</t>
  </si>
  <si>
    <t>Collaboration with Agriculture Research Institutions (Nr.)</t>
  </si>
  <si>
    <t>Active collaborations with scaling partners (Nr.)</t>
  </si>
  <si>
    <t>Awards granted to IITA staff or project teams (Nr.)</t>
  </si>
  <si>
    <t xml:space="preserve"> Invitations for presentations or seminars (Nr.)</t>
  </si>
  <si>
    <t>High level engagements (Nr.)</t>
  </si>
  <si>
    <t xml:space="preserve"> Approved proposals with GeYSI components </t>
  </si>
  <si>
    <t>Genetic Innovation</t>
  </si>
  <si>
    <t>IITA Program</t>
  </si>
  <si>
    <t>Resilient Agrifood Systems</t>
  </si>
  <si>
    <t>Systems Transformation</t>
  </si>
  <si>
    <t xml:space="preserve">Approved proposals with nutrition ad health components </t>
  </si>
  <si>
    <t>Biotechnology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</si>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</sst>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_(* #,##0_);_(* \(#,##0\);_(* &quot;-&quot;??_);_(@_)"/>
    <numFmt numFmtId="166" formatCode="_(* #,##0.0_);_(* \(#,##0.0\);_(* &quot;-&quot;??_);_(@_)"/>
    <numFmt numFmtId="167" formatCode="0.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FF00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horizontal="center" vertical="top"/>
    </xf>
    <xf numFmtId="164" fontId="4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horizontal="center" textRotation="90" wrapText="1" readingOrder="1"/>
    </xf>
    <xf numFmtId="164" fontId="7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right"/>
    </xf>
    <xf numFmtId="164" fontId="8" fillId="0" borderId="0" xfId="0" applyNumberFormat="1" applyFont="1"/>
    <xf numFmtId="0" fontId="8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65" fontId="11" fillId="0" borderId="0" xfId="1" applyNumberFormat="1" applyFont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/>
    <xf numFmtId="0" fontId="9" fillId="0" borderId="0" xfId="0" applyFont="1"/>
    <xf numFmtId="164" fontId="2" fillId="0" borderId="13" xfId="1" applyNumberFormat="1" applyFont="1" applyBorder="1" applyAlignment="1">
      <alignment horizontal="right" vertical="center"/>
    </xf>
    <xf numFmtId="164" fontId="2" fillId="0" borderId="15" xfId="1" applyNumberFormat="1" applyFont="1" applyBorder="1" applyAlignment="1">
      <alignment horizontal="right" vertical="center"/>
    </xf>
    <xf numFmtId="165" fontId="6" fillId="0" borderId="0" xfId="1" applyNumberFormat="1" applyFont="1" applyAlignment="1">
      <alignment horizontal="right"/>
    </xf>
    <xf numFmtId="9" fontId="6" fillId="0" borderId="0" xfId="2" applyFont="1" applyAlignment="1">
      <alignment horizontal="right"/>
    </xf>
    <xf numFmtId="0" fontId="6" fillId="0" borderId="0" xfId="0" applyFont="1" applyAlignment="1">
      <alignment horizontal="right"/>
    </xf>
    <xf numFmtId="165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0" fontId="11" fillId="2" borderId="5" xfId="0" applyFont="1" applyFill="1" applyBorder="1" applyAlignment="1">
      <alignment horizontal="center" vertical="top"/>
    </xf>
    <xf numFmtId="0" fontId="2" fillId="0" borderId="24" xfId="0" applyFont="1" applyBorder="1" applyAlignment="1">
      <alignment horizontal="left" vertical="top"/>
    </xf>
    <xf numFmtId="164" fontId="2" fillId="0" borderId="8" xfId="1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left" vertical="center" wrapText="1"/>
    </xf>
    <xf numFmtId="0" fontId="5" fillId="0" borderId="26" xfId="0" applyFont="1" applyBorder="1" applyAlignment="1">
      <alignment horizontal="left" vertical="center" wrapText="1"/>
    </xf>
    <xf numFmtId="0" fontId="5" fillId="0" borderId="27" xfId="0" applyFont="1" applyBorder="1" applyAlignment="1">
      <alignment horizontal="left" vertical="center" wrapText="1"/>
    </xf>
    <xf numFmtId="0" fontId="2" fillId="4" borderId="0" xfId="0" applyFont="1" applyFill="1"/>
    <xf numFmtId="0" fontId="2" fillId="4" borderId="0" xfId="0" applyFont="1" applyFill="1" applyAlignment="1">
      <alignment vertical="top"/>
    </xf>
    <xf numFmtId="0" fontId="8" fillId="4" borderId="0" xfId="0" applyFont="1" applyFill="1"/>
    <xf numFmtId="0" fontId="11" fillId="3" borderId="28" xfId="0" applyFont="1" applyFill="1" applyBorder="1" applyAlignment="1">
      <alignment horizontal="left"/>
    </xf>
    <xf numFmtId="9" fontId="11" fillId="3" borderId="29" xfId="2" applyFont="1" applyFill="1" applyBorder="1" applyAlignment="1">
      <alignment horizontal="right"/>
    </xf>
    <xf numFmtId="9" fontId="11" fillId="3" borderId="30" xfId="2" applyFont="1" applyFill="1" applyBorder="1" applyAlignment="1">
      <alignment horizontal="right"/>
    </xf>
    <xf numFmtId="0" fontId="11" fillId="3" borderId="24" xfId="0" applyFont="1" applyFill="1" applyBorder="1" applyAlignment="1">
      <alignment horizontal="left"/>
    </xf>
    <xf numFmtId="0" fontId="11" fillId="3" borderId="32" xfId="0" applyFont="1" applyFill="1" applyBorder="1" applyAlignment="1">
      <alignment horizontal="left"/>
    </xf>
    <xf numFmtId="2" fontId="11" fillId="3" borderId="33" xfId="0" applyNumberFormat="1" applyFont="1" applyFill="1" applyBorder="1" applyAlignment="1">
      <alignment horizontal="right"/>
    </xf>
    <xf numFmtId="0" fontId="5" fillId="0" borderId="38" xfId="0" applyFont="1" applyBorder="1" applyAlignment="1">
      <alignment horizontal="left" textRotation="90" wrapText="1" readingOrder="1"/>
    </xf>
    <xf numFmtId="0" fontId="5" fillId="0" borderId="39" xfId="0" applyFont="1" applyBorder="1" applyAlignment="1">
      <alignment horizontal="left" textRotation="90" wrapText="1" readingOrder="1"/>
    </xf>
    <xf numFmtId="0" fontId="5" fillId="0" borderId="2" xfId="0" applyFont="1" applyBorder="1" applyAlignment="1">
      <alignment horizontal="left" textRotation="90" wrapText="1" readingOrder="1"/>
    </xf>
    <xf numFmtId="0" fontId="5" fillId="0" borderId="29" xfId="0" applyFont="1" applyBorder="1" applyAlignment="1">
      <alignment horizontal="left" textRotation="90" wrapText="1" readingOrder="1"/>
    </xf>
    <xf numFmtId="0" fontId="5" fillId="0" borderId="40" xfId="0" applyFont="1" applyBorder="1" applyAlignment="1">
      <alignment horizontal="left" textRotation="90" wrapText="1" readingOrder="1"/>
    </xf>
    <xf numFmtId="164" fontId="2" fillId="0" borderId="6" xfId="1" applyNumberFormat="1" applyFont="1" applyBorder="1" applyAlignment="1">
      <alignment horizontal="right" vertical="center"/>
    </xf>
    <xf numFmtId="164" fontId="2" fillId="0" borderId="7" xfId="1" applyNumberFormat="1" applyFont="1" applyBorder="1" applyAlignment="1">
      <alignment horizontal="right" vertical="center"/>
    </xf>
    <xf numFmtId="164" fontId="2" fillId="0" borderId="11" xfId="1" applyNumberFormat="1" applyFont="1" applyBorder="1" applyAlignment="1">
      <alignment horizontal="right" vertical="center"/>
    </xf>
    <xf numFmtId="164" fontId="2" fillId="0" borderId="12" xfId="1" applyNumberFormat="1" applyFont="1" applyBorder="1" applyAlignment="1">
      <alignment horizontal="right" vertical="center"/>
    </xf>
    <xf numFmtId="164" fontId="2" fillId="0" borderId="16" xfId="1" applyNumberFormat="1" applyFont="1" applyBorder="1" applyAlignment="1">
      <alignment horizontal="right" vertical="center"/>
    </xf>
    <xf numFmtId="164" fontId="2" fillId="0" borderId="14" xfId="1" applyNumberFormat="1" applyFont="1" applyBorder="1" applyAlignment="1">
      <alignment horizontal="right" vertical="center"/>
    </xf>
    <xf numFmtId="164" fontId="2" fillId="2" borderId="7" xfId="1" applyNumberFormat="1" applyFont="1" applyFill="1" applyBorder="1" applyAlignment="1">
      <alignment horizontal="right" vertical="center"/>
    </xf>
    <xf numFmtId="164" fontId="2" fillId="2" borderId="12" xfId="1" applyNumberFormat="1" applyFont="1" applyFill="1" applyBorder="1" applyAlignment="1">
      <alignment horizontal="right" vertical="center"/>
    </xf>
    <xf numFmtId="164" fontId="2" fillId="2" borderId="14" xfId="1" applyNumberFormat="1" applyFont="1" applyFill="1" applyBorder="1" applyAlignment="1">
      <alignment horizontal="right" vertical="center"/>
    </xf>
    <xf numFmtId="166" fontId="11" fillId="3" borderId="0" xfId="1" applyNumberFormat="1" applyFont="1" applyFill="1" applyBorder="1" applyAlignment="1">
      <alignment horizontal="right"/>
    </xf>
    <xf numFmtId="166" fontId="11" fillId="3" borderId="0" xfId="0" applyNumberFormat="1" applyFont="1" applyFill="1" applyAlignment="1">
      <alignment horizontal="right"/>
    </xf>
    <xf numFmtId="166" fontId="11" fillId="3" borderId="33" xfId="0" applyNumberFormat="1" applyFont="1" applyFill="1" applyBorder="1" applyAlignment="1">
      <alignment horizontal="right"/>
    </xf>
    <xf numFmtId="164" fontId="11" fillId="3" borderId="0" xfId="1" applyNumberFormat="1" applyFont="1" applyFill="1" applyBorder="1" applyAlignment="1">
      <alignment horizontal="right"/>
    </xf>
    <xf numFmtId="164" fontId="11" fillId="3" borderId="0" xfId="0" applyNumberFormat="1" applyFont="1" applyFill="1" applyAlignment="1">
      <alignment horizontal="right"/>
    </xf>
    <xf numFmtId="167" fontId="11" fillId="3" borderId="0" xfId="2" applyNumberFormat="1" applyFont="1" applyFill="1" applyBorder="1" applyAlignment="1">
      <alignment horizontal="right"/>
    </xf>
    <xf numFmtId="167" fontId="11" fillId="3" borderId="31" xfId="2" applyNumberFormat="1" applyFont="1" applyFill="1" applyBorder="1" applyAlignment="1">
      <alignment horizontal="right"/>
    </xf>
    <xf numFmtId="167" fontId="2" fillId="0" borderId="35" xfId="2" applyNumberFormat="1" applyFont="1" applyBorder="1" applyAlignment="1">
      <alignment horizontal="right" vertical="center"/>
    </xf>
    <xf numFmtId="167" fontId="2" fillId="0" borderId="7" xfId="2" applyNumberFormat="1" applyFont="1" applyBorder="1" applyAlignment="1">
      <alignment horizontal="right" vertical="center"/>
    </xf>
    <xf numFmtId="167" fontId="2" fillId="0" borderId="8" xfId="2" applyNumberFormat="1" applyFont="1" applyBorder="1" applyAlignment="1">
      <alignment horizontal="right" vertical="center"/>
    </xf>
    <xf numFmtId="167" fontId="2" fillId="0" borderId="36" xfId="2" applyNumberFormat="1" applyFont="1" applyBorder="1" applyAlignment="1">
      <alignment horizontal="right" vertical="center"/>
    </xf>
    <xf numFmtId="167" fontId="2" fillId="0" borderId="12" xfId="2" applyNumberFormat="1" applyFont="1" applyBorder="1" applyAlignment="1">
      <alignment horizontal="right" vertical="center"/>
    </xf>
    <xf numFmtId="167" fontId="2" fillId="0" borderId="13" xfId="2" applyNumberFormat="1" applyFont="1" applyBorder="1" applyAlignment="1">
      <alignment horizontal="right" vertical="center"/>
    </xf>
    <xf numFmtId="167" fontId="2" fillId="0" borderId="37" xfId="2" applyNumberFormat="1" applyFont="1" applyBorder="1" applyAlignment="1">
      <alignment horizontal="right" vertical="center"/>
    </xf>
    <xf numFmtId="167" fontId="2" fillId="0" borderId="14" xfId="2" applyNumberFormat="1" applyFont="1" applyBorder="1" applyAlignment="1">
      <alignment horizontal="right" vertical="center"/>
    </xf>
    <xf numFmtId="167" fontId="2" fillId="0" borderId="15" xfId="2" applyNumberFormat="1" applyFont="1" applyBorder="1" applyAlignment="1">
      <alignment horizontal="right" vertical="center"/>
    </xf>
    <xf numFmtId="0" fontId="11" fillId="2" borderId="21" xfId="0" applyFont="1" applyFill="1" applyBorder="1" applyAlignment="1">
      <alignment horizontal="center" vertical="center" textRotation="90" wrapText="1"/>
    </xf>
    <xf numFmtId="0" fontId="11" fillId="2" borderId="22" xfId="0" applyFont="1" applyFill="1" applyBorder="1" applyAlignment="1">
      <alignment horizontal="center" vertical="center" textRotation="90" wrapText="1"/>
    </xf>
    <xf numFmtId="0" fontId="11" fillId="2" borderId="23" xfId="0" applyFont="1" applyFill="1" applyBorder="1" applyAlignment="1">
      <alignment horizontal="center" vertical="center" textRotation="90" wrapText="1"/>
    </xf>
    <xf numFmtId="0" fontId="11" fillId="2" borderId="18" xfId="0" applyFont="1" applyFill="1" applyBorder="1" applyAlignment="1">
      <alignment horizontal="center" vertical="center" textRotation="90" wrapText="1"/>
    </xf>
    <xf numFmtId="0" fontId="11" fillId="2" borderId="19" xfId="0" applyFont="1" applyFill="1" applyBorder="1" applyAlignment="1">
      <alignment horizontal="center" vertical="center" textRotation="90" wrapText="1"/>
    </xf>
    <xf numFmtId="0" fontId="11" fillId="2" borderId="20" xfId="0" applyFont="1" applyFill="1" applyBorder="1" applyAlignment="1">
      <alignment horizontal="center" vertical="center" textRotation="90" wrapText="1"/>
    </xf>
    <xf numFmtId="0" fontId="11" fillId="2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top" wrapText="1"/>
    </xf>
    <xf numFmtId="0" fontId="11" fillId="2" borderId="17" xfId="0" applyFont="1" applyFill="1" applyBorder="1" applyAlignment="1">
      <alignment horizontal="center" vertical="top" wrapText="1"/>
    </xf>
    <xf numFmtId="0" fontId="11" fillId="2" borderId="4" xfId="0" applyFont="1" applyFill="1" applyBorder="1" applyAlignment="1">
      <alignment horizontal="center" vertical="top" wrapText="1"/>
    </xf>
    <xf numFmtId="0" fontId="11" fillId="2" borderId="9" xfId="0" applyFont="1" applyFill="1" applyBorder="1" applyAlignment="1">
      <alignment horizontal="center" vertical="top" wrapText="1"/>
    </xf>
    <xf numFmtId="0" fontId="11" fillId="2" borderId="10" xfId="0" applyFont="1" applyFill="1" applyBorder="1" applyAlignment="1">
      <alignment horizontal="center" vertical="top" wrapText="1"/>
    </xf>
    <xf numFmtId="167" fontId="11" fillId="3" borderId="33" xfId="2" applyNumberFormat="1" applyFont="1" applyFill="1" applyBorder="1" applyAlignment="1">
      <alignment horizontal="right"/>
    </xf>
    <xf numFmtId="167" fontId="11" fillId="3" borderId="34" xfId="2" applyNumberFormat="1" applyFont="1" applyFill="1" applyBorder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2BCD-9E8C-46B8-AAEF-2DC1F617F4CB}">
  <sheetPr>
    <tabColor rgb="FFFFFF00"/>
    <pageSetUpPr fitToPage="1"/>
  </sheetPr>
  <dimension ref="A1:AA26"/>
  <sheetViews>
    <sheetView tabSelected="1" topLeftCell="A3" zoomScale="75" zoomScaleNormal="75" zoomScaleSheetLayoutView="75" workbookViewId="0">
      <selection activeCell="R11" sqref="R11"/>
    </sheetView>
  </sheetViews>
  <sheetFormatPr defaultRowHeight="14.5" x14ac:dyDescent="0.35"/>
  <cols>
    <col min="1" max="1" width="8" style="11" customWidth="1"/>
    <col min="2" max="2" width="31.36328125" style="12" customWidth="1"/>
    <col min="3" max="4" width="7.453125" style="26" customWidth="1"/>
    <col min="5" max="5" width="7.453125" style="27" customWidth="1"/>
    <col min="6" max="10" width="7.453125" style="9" customWidth="1"/>
    <col min="11" max="11" width="5.6328125" style="1" customWidth="1"/>
    <col min="12" max="13" width="8.1796875" style="2" customWidth="1"/>
  </cols>
  <sheetData>
    <row r="1" spans="1:13" ht="15" thickBot="1" x14ac:dyDescent="0.4">
      <c r="A1" s="34"/>
      <c r="B1" s="79" t="s">
        <v>0</v>
      </c>
      <c r="C1" s="80"/>
      <c r="D1" s="80"/>
      <c r="E1" s="80"/>
      <c r="F1" s="80"/>
      <c r="G1" s="80"/>
      <c r="H1" s="81"/>
      <c r="I1" s="81"/>
      <c r="J1" s="82"/>
    </row>
    <row r="2" spans="1:13" s="5" customFormat="1" ht="19.5" customHeight="1" thickBot="1" x14ac:dyDescent="0.4">
      <c r="A2" s="35"/>
      <c r="B2" s="28" t="s">
        <v>30</v>
      </c>
      <c r="C2" s="83" t="s">
        <v>1</v>
      </c>
      <c r="D2" s="84"/>
      <c r="E2" s="84"/>
      <c r="F2" s="84"/>
      <c r="G2" s="85"/>
      <c r="H2" s="86" t="s">
        <v>2</v>
      </c>
      <c r="I2" s="86"/>
      <c r="J2" s="87"/>
      <c r="K2" s="3"/>
      <c r="L2" s="4"/>
      <c r="M2" s="4"/>
    </row>
    <row r="3" spans="1:13" s="8" customFormat="1" ht="114" customHeight="1" thickBot="1" x14ac:dyDescent="0.35">
      <c r="A3" s="34"/>
      <c r="B3" s="29"/>
      <c r="C3" s="44" t="s">
        <v>23</v>
      </c>
      <c r="D3" s="45" t="s">
        <v>24</v>
      </c>
      <c r="E3" s="45" t="s">
        <v>25</v>
      </c>
      <c r="F3" s="45" t="s">
        <v>26</v>
      </c>
      <c r="G3" s="43" t="s">
        <v>27</v>
      </c>
      <c r="H3" s="46" t="s">
        <v>28</v>
      </c>
      <c r="I3" s="47" t="s">
        <v>22</v>
      </c>
      <c r="J3" s="43" t="s">
        <v>33</v>
      </c>
      <c r="K3" s="6"/>
      <c r="L3" s="7"/>
      <c r="M3" s="7"/>
    </row>
    <row r="4" spans="1:13" s="11" customFormat="1" ht="15.65" customHeight="1" thickBot="1" x14ac:dyDescent="0.35">
      <c r="A4" s="76" t="s">
        <v>29</v>
      </c>
      <c r="B4" s="31" t="s">
        <v>34</v>
      </c>
      <c r="C4" s="48">
        <v>17</v>
      </c>
      <c r="D4" s="49" t="s">
        <v>3</v>
      </c>
      <c r="E4" s="49">
        <v>1</v>
      </c>
      <c r="F4" s="49">
        <v>0</v>
      </c>
      <c r="G4" s="30" t="s">
        <v>3</v>
      </c>
      <c r="H4" s="64">
        <v>0</v>
      </c>
      <c r="I4" s="65">
        <v>0</v>
      </c>
      <c r="J4" s="66">
        <v>0</v>
      </c>
      <c r="K4" s="9"/>
      <c r="L4" s="10"/>
      <c r="M4" s="10"/>
    </row>
    <row r="5" spans="1:13" s="11" customFormat="1" ht="15.65" customHeight="1" x14ac:dyDescent="0.3">
      <c r="A5" s="77"/>
      <c r="B5" s="32" t="s">
        <v>4</v>
      </c>
      <c r="C5" s="50">
        <v>23</v>
      </c>
      <c r="D5" s="51" t="s">
        <v>3</v>
      </c>
      <c r="E5" s="51">
        <v>0</v>
      </c>
      <c r="F5" s="51">
        <v>3</v>
      </c>
      <c r="G5" s="21" t="s">
        <v>3</v>
      </c>
      <c r="H5" s="67">
        <v>0.28999999999999998</v>
      </c>
      <c r="I5" s="68">
        <v>0.14000000000000001</v>
      </c>
      <c r="J5" s="66">
        <v>0.28999999999999998</v>
      </c>
      <c r="K5" s="9"/>
      <c r="L5" s="10"/>
      <c r="M5" s="10"/>
    </row>
    <row r="6" spans="1:13" s="11" customFormat="1" ht="15.65" customHeight="1" x14ac:dyDescent="0.3">
      <c r="A6" s="77"/>
      <c r="B6" s="32" t="s">
        <v>5</v>
      </c>
      <c r="C6" s="50">
        <v>19</v>
      </c>
      <c r="D6" s="51" t="s">
        <v>3</v>
      </c>
      <c r="E6" s="51">
        <v>0</v>
      </c>
      <c r="F6" s="51">
        <v>1</v>
      </c>
      <c r="G6" s="21" t="s">
        <v>3</v>
      </c>
      <c r="H6" s="67">
        <v>0</v>
      </c>
      <c r="I6" s="68">
        <v>0</v>
      </c>
      <c r="J6" s="69">
        <v>0</v>
      </c>
      <c r="K6" s="9"/>
      <c r="L6" s="10"/>
      <c r="M6" s="10"/>
    </row>
    <row r="7" spans="1:13" s="11" customFormat="1" ht="15.65" customHeight="1" thickBot="1" x14ac:dyDescent="0.35">
      <c r="A7" s="78"/>
      <c r="B7" s="33" t="s">
        <v>6</v>
      </c>
      <c r="C7" s="52">
        <v>0</v>
      </c>
      <c r="D7" s="53">
        <v>14</v>
      </c>
      <c r="E7" s="53">
        <v>3</v>
      </c>
      <c r="F7" s="53">
        <v>0</v>
      </c>
      <c r="G7" s="22" t="s">
        <v>3</v>
      </c>
      <c r="H7" s="70">
        <v>0.43</v>
      </c>
      <c r="I7" s="71">
        <v>0.28999999999999998</v>
      </c>
      <c r="J7" s="72">
        <v>0.14000000000000001</v>
      </c>
      <c r="K7" s="9"/>
      <c r="L7" s="10"/>
      <c r="M7" s="10"/>
    </row>
    <row r="8" spans="1:13" s="11" customFormat="1" ht="15.65" customHeight="1" x14ac:dyDescent="0.3">
      <c r="A8" s="76" t="s">
        <v>31</v>
      </c>
      <c r="B8" s="31" t="s">
        <v>7</v>
      </c>
      <c r="C8" s="48">
        <v>18</v>
      </c>
      <c r="D8" s="49">
        <v>1</v>
      </c>
      <c r="E8" s="49">
        <v>3</v>
      </c>
      <c r="F8" s="49">
        <v>5</v>
      </c>
      <c r="G8" s="30" t="s">
        <v>3</v>
      </c>
      <c r="H8" s="64">
        <v>0.33</v>
      </c>
      <c r="I8" s="65">
        <v>0.33</v>
      </c>
      <c r="J8" s="66">
        <v>0</v>
      </c>
      <c r="K8" s="9"/>
      <c r="L8" s="10"/>
      <c r="M8" s="10"/>
    </row>
    <row r="9" spans="1:13" s="11" customFormat="1" ht="15.65" customHeight="1" thickBot="1" x14ac:dyDescent="0.35">
      <c r="A9" s="77"/>
      <c r="B9" s="32" t="s">
        <v>8</v>
      </c>
      <c r="C9" s="50">
        <v>43</v>
      </c>
      <c r="D9" s="51">
        <v>17</v>
      </c>
      <c r="E9" s="51">
        <v>0</v>
      </c>
      <c r="F9" s="51">
        <v>3</v>
      </c>
      <c r="G9" s="21" t="s">
        <v>3</v>
      </c>
      <c r="H9" s="67">
        <v>0.44</v>
      </c>
      <c r="I9" s="68">
        <v>0.44</v>
      </c>
      <c r="J9" s="72">
        <v>0.11</v>
      </c>
      <c r="K9" s="9"/>
      <c r="L9" s="10"/>
      <c r="M9" s="10"/>
    </row>
    <row r="10" spans="1:13" s="11" customFormat="1" ht="15.65" customHeight="1" x14ac:dyDescent="0.3">
      <c r="A10" s="77"/>
      <c r="B10" s="32" t="s">
        <v>16</v>
      </c>
      <c r="C10" s="50">
        <v>0</v>
      </c>
      <c r="D10" s="51">
        <v>3</v>
      </c>
      <c r="E10" s="51">
        <v>0</v>
      </c>
      <c r="F10" s="51">
        <v>0</v>
      </c>
      <c r="G10" s="21" t="s">
        <v>3</v>
      </c>
      <c r="H10" s="67">
        <v>0.56999999999999995</v>
      </c>
      <c r="I10" s="68">
        <v>0.71</v>
      </c>
      <c r="J10" s="69">
        <v>0</v>
      </c>
      <c r="K10" s="9"/>
      <c r="L10" s="10"/>
      <c r="M10" s="10"/>
    </row>
    <row r="11" spans="1:13" s="11" customFormat="1" ht="15.65" customHeight="1" thickBot="1" x14ac:dyDescent="0.35">
      <c r="A11" s="78"/>
      <c r="B11" s="33" t="s">
        <v>9</v>
      </c>
      <c r="C11" s="52">
        <v>0</v>
      </c>
      <c r="D11" s="53">
        <v>0</v>
      </c>
      <c r="E11" s="53">
        <v>0</v>
      </c>
      <c r="F11" s="53">
        <v>0</v>
      </c>
      <c r="G11" s="22" t="s">
        <v>3</v>
      </c>
      <c r="H11" s="70">
        <v>0</v>
      </c>
      <c r="I11" s="71">
        <v>0</v>
      </c>
      <c r="J11" s="72">
        <v>0</v>
      </c>
      <c r="K11" s="9"/>
      <c r="L11" s="10"/>
      <c r="M11" s="10"/>
    </row>
    <row r="12" spans="1:13" s="11" customFormat="1" ht="15.65" customHeight="1" x14ac:dyDescent="0.3">
      <c r="A12" s="73" t="s">
        <v>32</v>
      </c>
      <c r="B12" s="31" t="s">
        <v>17</v>
      </c>
      <c r="C12" s="48">
        <v>7</v>
      </c>
      <c r="D12" s="54">
        <v>0</v>
      </c>
      <c r="E12" s="54">
        <v>0</v>
      </c>
      <c r="F12" s="49">
        <v>0</v>
      </c>
      <c r="G12" s="30" t="s">
        <v>3</v>
      </c>
      <c r="H12" s="64">
        <v>0</v>
      </c>
      <c r="I12" s="65">
        <v>0</v>
      </c>
      <c r="J12" s="66">
        <v>0</v>
      </c>
      <c r="K12" s="9"/>
      <c r="L12" s="10"/>
      <c r="M12" s="10"/>
    </row>
    <row r="13" spans="1:13" s="11" customFormat="1" ht="15.65" customHeight="1" x14ac:dyDescent="0.3">
      <c r="A13" s="74"/>
      <c r="B13" s="32" t="s">
        <v>18</v>
      </c>
      <c r="C13" s="50">
        <v>0</v>
      </c>
      <c r="D13" s="55">
        <v>0</v>
      </c>
      <c r="E13" s="55">
        <v>0</v>
      </c>
      <c r="F13" s="51">
        <v>3</v>
      </c>
      <c r="G13" s="21" t="s">
        <v>3</v>
      </c>
      <c r="H13" s="67">
        <v>0</v>
      </c>
      <c r="I13" s="68">
        <v>0</v>
      </c>
      <c r="J13" s="69">
        <v>0</v>
      </c>
      <c r="K13" s="9"/>
      <c r="L13" s="10"/>
      <c r="M13" s="10"/>
    </row>
    <row r="14" spans="1:13" s="11" customFormat="1" ht="15.65" customHeight="1" x14ac:dyDescent="0.3">
      <c r="A14" s="74"/>
      <c r="B14" s="32" t="s">
        <v>19</v>
      </c>
      <c r="C14" s="50">
        <v>6</v>
      </c>
      <c r="D14" s="55">
        <v>3</v>
      </c>
      <c r="E14" s="55">
        <v>0</v>
      </c>
      <c r="F14" s="51">
        <v>3</v>
      </c>
      <c r="G14" s="21" t="s">
        <v>3</v>
      </c>
      <c r="H14" s="67">
        <v>0</v>
      </c>
      <c r="I14" s="68">
        <v>0</v>
      </c>
      <c r="J14" s="69">
        <v>0</v>
      </c>
      <c r="K14" s="9"/>
      <c r="L14" s="10"/>
      <c r="M14" s="10"/>
    </row>
    <row r="15" spans="1:13" s="11" customFormat="1" ht="15.65" customHeight="1" x14ac:dyDescent="0.3">
      <c r="A15" s="74"/>
      <c r="B15" s="32" t="s">
        <v>20</v>
      </c>
      <c r="C15" s="50">
        <v>7</v>
      </c>
      <c r="D15" s="55">
        <v>0</v>
      </c>
      <c r="E15" s="55">
        <v>0</v>
      </c>
      <c r="F15" s="51">
        <v>0</v>
      </c>
      <c r="G15" s="21" t="s">
        <v>3</v>
      </c>
      <c r="H15" s="67">
        <v>0</v>
      </c>
      <c r="I15" s="68">
        <v>0</v>
      </c>
      <c r="J15" s="69">
        <v>0</v>
      </c>
      <c r="K15" s="9"/>
      <c r="L15" s="10"/>
      <c r="M15" s="10"/>
    </row>
    <row r="16" spans="1:13" s="11" customFormat="1" ht="15.5" customHeight="1" thickBot="1" x14ac:dyDescent="0.35">
      <c r="A16" s="75"/>
      <c r="B16" s="33" t="s">
        <v>21</v>
      </c>
      <c r="C16" s="52">
        <v>0</v>
      </c>
      <c r="D16" s="56">
        <v>0</v>
      </c>
      <c r="E16" s="56">
        <v>1</v>
      </c>
      <c r="F16" s="53">
        <v>0</v>
      </c>
      <c r="G16" s="22" t="s">
        <v>3</v>
      </c>
      <c r="H16" s="70">
        <v>1</v>
      </c>
      <c r="I16" s="71">
        <v>0</v>
      </c>
      <c r="J16" s="72">
        <v>0</v>
      </c>
      <c r="K16" s="9"/>
      <c r="L16" s="10"/>
      <c r="M16" s="10"/>
    </row>
    <row r="17" spans="1:27" s="18" customFormat="1" ht="12" x14ac:dyDescent="0.3">
      <c r="A17" s="34"/>
      <c r="B17" s="37" t="s">
        <v>10</v>
      </c>
      <c r="C17" s="57">
        <f>SUM(C4:C16)</f>
        <v>140</v>
      </c>
      <c r="D17" s="57">
        <f>SUM(D4:D16)</f>
        <v>38</v>
      </c>
      <c r="E17" s="57">
        <f>SUM(E4:E16)</f>
        <v>8</v>
      </c>
      <c r="F17" s="57">
        <f>SUM(F4:F16)</f>
        <v>18</v>
      </c>
      <c r="G17" s="60">
        <v>30</v>
      </c>
      <c r="H17" s="38" t="s">
        <v>3</v>
      </c>
      <c r="I17" s="38" t="s">
        <v>3</v>
      </c>
      <c r="J17" s="39" t="s">
        <v>3</v>
      </c>
      <c r="K17" s="17"/>
    </row>
    <row r="18" spans="1:27" s="20" customFormat="1" x14ac:dyDescent="0.35">
      <c r="A18" s="36"/>
      <c r="B18" s="40" t="s">
        <v>11</v>
      </c>
      <c r="C18" s="57">
        <v>30</v>
      </c>
      <c r="D18" s="58">
        <v>25</v>
      </c>
      <c r="E18" s="57">
        <v>30</v>
      </c>
      <c r="F18" s="57">
        <v>30</v>
      </c>
      <c r="G18" s="61">
        <v>15</v>
      </c>
      <c r="H18" s="62">
        <v>0.25</v>
      </c>
      <c r="I18" s="62">
        <v>0.25</v>
      </c>
      <c r="J18" s="63">
        <v>0.25</v>
      </c>
      <c r="K18" s="16"/>
      <c r="L18" s="19"/>
      <c r="M18" s="19"/>
    </row>
    <row r="19" spans="1:27" s="20" customFormat="1" ht="15" thickBot="1" x14ac:dyDescent="0.4">
      <c r="A19" s="36"/>
      <c r="B19" s="41" t="s">
        <v>35</v>
      </c>
      <c r="C19" s="59">
        <f>C18/13</f>
        <v>2.3076923076923075</v>
      </c>
      <c r="D19" s="59">
        <f t="shared" ref="D19:F19" si="0">D18/13</f>
        <v>1.9230769230769231</v>
      </c>
      <c r="E19" s="59">
        <f t="shared" si="0"/>
        <v>2.3076923076923075</v>
      </c>
      <c r="F19" s="59">
        <f t="shared" si="0"/>
        <v>2.3076923076923075</v>
      </c>
      <c r="G19" s="42" t="s">
        <v>3</v>
      </c>
      <c r="H19" s="88">
        <v>0.25</v>
      </c>
      <c r="I19" s="88">
        <v>0.25</v>
      </c>
      <c r="J19" s="89">
        <v>0.25</v>
      </c>
      <c r="K19" s="16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1" spans="1:27" hidden="1" x14ac:dyDescent="0.35">
      <c r="B21" s="13" t="s">
        <v>12</v>
      </c>
      <c r="C21" s="23"/>
      <c r="D21" s="23"/>
      <c r="E21" s="24"/>
      <c r="F21" s="25"/>
      <c r="G21" s="25"/>
      <c r="H21" s="25"/>
      <c r="I21" s="25"/>
      <c r="J21" s="25"/>
      <c r="K21" s="14"/>
    </row>
    <row r="22" spans="1:27" hidden="1" x14ac:dyDescent="0.35">
      <c r="B22" s="15" t="s">
        <v>13</v>
      </c>
      <c r="C22" s="23"/>
      <c r="D22" s="23"/>
      <c r="E22" s="24"/>
      <c r="F22" s="25"/>
      <c r="G22" s="25"/>
      <c r="H22" s="25"/>
      <c r="I22" s="25"/>
      <c r="J22" s="25"/>
      <c r="K22" s="14"/>
    </row>
    <row r="23" spans="1:27" hidden="1" x14ac:dyDescent="0.35">
      <c r="B23" s="15" t="s">
        <v>14</v>
      </c>
      <c r="C23" s="23"/>
      <c r="D23" s="23"/>
      <c r="E23" s="24"/>
      <c r="F23" s="25"/>
      <c r="G23" s="25"/>
      <c r="H23" s="25"/>
      <c r="I23" s="25"/>
      <c r="J23" s="25"/>
      <c r="K23" s="14"/>
    </row>
    <row r="24" spans="1:27" hidden="1" x14ac:dyDescent="0.35">
      <c r="B24" s="15" t="s">
        <v>15</v>
      </c>
    </row>
    <row r="25" spans="1:27" hidden="1" x14ac:dyDescent="0.35"/>
    <row r="26" spans="1:27" x14ac:dyDescent="0.35">
      <c r="B26" s="15"/>
    </row>
  </sheetData>
  <mergeCells count="6">
    <mergeCell ref="A12:A16"/>
    <mergeCell ref="A4:A7"/>
    <mergeCell ref="A8:A11"/>
    <mergeCell ref="B1:J1"/>
    <mergeCell ref="C2:G2"/>
    <mergeCell ref="H2:J2"/>
  </mergeCells>
  <conditionalFormatting sqref="C4:C16">
    <cfRule type="colorScale" priority="50">
      <colorScale>
        <cfvo type="min"/>
        <cfvo type="formula" val="$C$19/2"/>
        <cfvo type="formula" val="$C$19"/>
        <color rgb="FFFF0000"/>
        <color rgb="FFFFFF00"/>
        <color rgb="FF00B050"/>
      </colorScale>
    </cfRule>
    <cfRule type="colorScale" priority="5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16">
    <cfRule type="colorScale" priority="53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54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55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57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58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59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2026-04-08T13:56:26Z</dcterms:created>
  <dcterms:modified xsi:type="dcterms:W3CDTF">2026-05-01T13:22:29Z</dcterms:modified>
</cp:coreProperties>
</file>