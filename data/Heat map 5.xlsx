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1B7D5AB-7219-4E02-911F-43609664E511}" xr6:coauthVersionLast="47" xr6:coauthVersionMax="47" xr10:uidLastSave="{00000000-0000-0000-0000-000000000000}"/>
  <bookViews>
    <workbookView xWindow="-108" yWindow="-108" windowWidth="23256" windowHeight="13896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E19" i="1"/>
  <c r="D19" i="1"/>
  <c r="C19" i="1"/>
  <c r="F17" i="1"/>
  <c r="E17" i="1"/>
  <c r="D17" i="1"/>
  <c r="C17" i="1"/>
</calcChain>
</file>

<file path=xl/sharedStrings.xml><?xml version="1.0" encoding="utf-8"?>
<sst xmlns="http://schemas.openxmlformats.org/spreadsheetml/2006/main" count="55" uniqueCount="36">
  <si>
    <t>KPI by Nr.</t>
  </si>
  <si>
    <t>Recognition and Reputation</t>
  </si>
  <si>
    <t>Society Impact &amp; Inclusion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</si>
  <si>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</si>
  <si>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</si>
  <si>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</si>
  <si>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</si>
  <si>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</si>
  <si>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</si>
  <si>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</si>
  <si>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</si>
  <si>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</si>
  <si>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</si>
  <si>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>The data on partners are not correct at all, Sabra!!! We can only present correctc information!</t>
  </si>
  <si>
    <t>For columns E, G, how can a value be 2.5??? This does not make sense really</t>
  </si>
  <si>
    <t>It is also critical to complete the missing information in columns F and H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</si>
  <si>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</si>
  <si>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</si>
  <si>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</si>
  <si>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</si>
  <si>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</si>
  <si>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</si>
  <si>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Approved proposals with climate components</t>
  </si>
  <si>
    <t>Collaboration with Agriculture Research Institutions (Nr.)</t>
  </si>
  <si>
    <t>Active collaborations with scaling partners (Nr.)</t>
  </si>
  <si>
    <t>Awards granted to IITA staff or project teams (Nr.)</t>
  </si>
  <si>
    <t xml:space="preserve"> Invitations for presentations or seminars (Nr.)</t>
  </si>
  <si>
    <t>High level engagements (Nr.)</t>
  </si>
  <si>
    <t xml:space="preserve"> Approved proposals with GeYSI components </t>
  </si>
  <si>
    <t>Genetic Innovation</t>
  </si>
  <si>
    <t>IITA Program</t>
  </si>
  <si>
    <t>Resilient Agrifood Systems</t>
  </si>
  <si>
    <t>Systems Transformation</t>
  </si>
  <si>
    <t xml:space="preserve">Approved proposals with nutrition ad health components </t>
  </si>
  <si>
    <t>Biotechnology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</si>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</sst>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_);_(* \(#,##0\);_(* &quot;-&quot;??_);_(@_)"/>
    <numFmt numFmtId="167" formatCode="_(* #,##0.0_);_(* \(#,##0.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 applyAlignment="1">
      <alignment horizontal="center" textRotation="90" wrapText="1" readingOrder="1"/>
    </xf>
    <xf numFmtId="165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right"/>
    </xf>
    <xf numFmtId="165" fontId="8" fillId="0" borderId="0" xfId="0" applyNumberFormat="1" applyFont="1"/>
    <xf numFmtId="0" fontId="8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6" fontId="11" fillId="0" borderId="0" xfId="1" applyNumberFormat="1" applyFont="1" applyAlignment="1">
      <alignment horizontal="center"/>
    </xf>
    <xf numFmtId="165" fontId="10" fillId="0" borderId="0" xfId="0" applyNumberFormat="1" applyFont="1"/>
    <xf numFmtId="165" fontId="9" fillId="0" borderId="0" xfId="0" applyNumberFormat="1" applyFont="1"/>
    <xf numFmtId="0" fontId="9" fillId="0" borderId="0" xfId="0" applyFont="1"/>
    <xf numFmtId="165" fontId="2" fillId="0" borderId="13" xfId="1" applyNumberFormat="1" applyFont="1" applyBorder="1" applyAlignment="1">
      <alignment horizontal="right" vertical="center"/>
    </xf>
    <xf numFmtId="165" fontId="2" fillId="0" borderId="15" xfId="1" applyNumberFormat="1" applyFont="1" applyBorder="1" applyAlignment="1">
      <alignment horizontal="right" vertical="center"/>
    </xf>
    <xf numFmtId="166" fontId="6" fillId="0" borderId="0" xfId="1" applyNumberFormat="1" applyFont="1" applyAlignment="1">
      <alignment horizontal="right"/>
    </xf>
    <xf numFmtId="9" fontId="6" fillId="0" borderId="0" xfId="2" applyFont="1" applyAlignment="1">
      <alignment horizontal="right"/>
    </xf>
    <xf numFmtId="0" fontId="6" fillId="0" borderId="0" xfId="0" applyFont="1" applyAlignment="1">
      <alignment horizontal="right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9" fontId="2" fillId="0" borderId="7" xfId="2" applyFont="1" applyBorder="1" applyAlignment="1">
      <alignment horizontal="right" vertical="center"/>
    </xf>
    <xf numFmtId="9" fontId="2" fillId="0" borderId="8" xfId="2" applyFont="1" applyBorder="1" applyAlignment="1">
      <alignment horizontal="right" vertical="center"/>
    </xf>
    <xf numFmtId="9" fontId="2" fillId="0" borderId="12" xfId="2" applyFont="1" applyBorder="1" applyAlignment="1">
      <alignment horizontal="right" vertical="center"/>
    </xf>
    <xf numFmtId="9" fontId="2" fillId="0" borderId="13" xfId="2" applyFont="1" applyBorder="1" applyAlignment="1">
      <alignment horizontal="right" vertical="center"/>
    </xf>
    <xf numFmtId="9" fontId="2" fillId="0" borderId="14" xfId="2" applyFont="1" applyBorder="1" applyAlignment="1">
      <alignment horizontal="right" vertical="center"/>
    </xf>
    <xf numFmtId="9" fontId="2" fillId="0" borderId="15" xfId="2" applyFont="1" applyBorder="1" applyAlignment="1">
      <alignment horizontal="right" vertical="center"/>
    </xf>
    <xf numFmtId="0" fontId="2" fillId="0" borderId="24" xfId="0" applyFont="1" applyBorder="1" applyAlignment="1">
      <alignment horizontal="left" vertical="top"/>
    </xf>
    <xf numFmtId="165" fontId="2" fillId="0" borderId="8" xfId="1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left" vertical="center" wrapText="1"/>
    </xf>
    <xf numFmtId="0" fontId="5" fillId="0" borderId="27" xfId="0" applyFont="1" applyBorder="1" applyAlignment="1">
      <alignment horizontal="left" vertical="center" wrapText="1"/>
    </xf>
    <xf numFmtId="0" fontId="2" fillId="4" borderId="0" xfId="0" applyFont="1" applyFill="1"/>
    <xf numFmtId="0" fontId="8" fillId="4" borderId="0" xfId="0" applyFont="1" applyFill="1"/>
    <xf numFmtId="0" fontId="11" fillId="3" borderId="28" xfId="0" applyFont="1" applyFill="1" applyBorder="1" applyAlignment="1">
      <alignment horizontal="left"/>
    </xf>
    <xf numFmtId="9" fontId="11" fillId="3" borderId="29" xfId="2" applyFont="1" applyFill="1" applyBorder="1" applyAlignment="1">
      <alignment horizontal="right"/>
    </xf>
    <xf numFmtId="9" fontId="11" fillId="3" borderId="30" xfId="2" applyFont="1" applyFill="1" applyBorder="1" applyAlignment="1">
      <alignment horizontal="right"/>
    </xf>
    <xf numFmtId="0" fontId="11" fillId="3" borderId="24" xfId="0" applyFont="1" applyFill="1" applyBorder="1" applyAlignment="1">
      <alignment horizontal="left"/>
    </xf>
    <xf numFmtId="9" fontId="11" fillId="3" borderId="0" xfId="2" applyFont="1" applyFill="1" applyBorder="1" applyAlignment="1">
      <alignment horizontal="right"/>
    </xf>
    <xf numFmtId="9" fontId="11" fillId="3" borderId="31" xfId="2" applyFont="1" applyFill="1" applyBorder="1" applyAlignment="1">
      <alignment horizontal="right"/>
    </xf>
    <xf numFmtId="0" fontId="11" fillId="3" borderId="32" xfId="0" applyFont="1" applyFill="1" applyBorder="1" applyAlignment="1">
      <alignment horizontal="left"/>
    </xf>
    <xf numFmtId="2" fontId="11" fillId="3" borderId="33" xfId="0" applyNumberFormat="1" applyFont="1" applyFill="1" applyBorder="1" applyAlignment="1">
      <alignment horizontal="right"/>
    </xf>
    <xf numFmtId="9" fontId="11" fillId="3" borderId="33" xfId="2" applyFont="1" applyFill="1" applyBorder="1" applyAlignment="1">
      <alignment horizontal="right"/>
    </xf>
    <xf numFmtId="9" fontId="11" fillId="3" borderId="34" xfId="2" applyFont="1" applyFill="1" applyBorder="1" applyAlignment="1">
      <alignment horizontal="right"/>
    </xf>
    <xf numFmtId="9" fontId="2" fillId="0" borderId="35" xfId="2" applyFont="1" applyBorder="1" applyAlignment="1">
      <alignment horizontal="right" vertical="center"/>
    </xf>
    <xf numFmtId="9" fontId="2" fillId="0" borderId="36" xfId="2" applyFont="1" applyBorder="1" applyAlignment="1">
      <alignment horizontal="right" vertical="center"/>
    </xf>
    <xf numFmtId="9" fontId="2" fillId="0" borderId="37" xfId="2" applyFont="1" applyBorder="1" applyAlignment="1">
      <alignment horizontal="right" vertical="center"/>
    </xf>
    <xf numFmtId="0" fontId="5" fillId="0" borderId="38" xfId="0" applyFont="1" applyBorder="1" applyAlignment="1">
      <alignment horizontal="left" textRotation="90" wrapText="1" readingOrder="1"/>
    </xf>
    <xf numFmtId="0" fontId="5" fillId="0" borderId="39" xfId="0" applyFont="1" applyBorder="1" applyAlignment="1">
      <alignment horizontal="left" textRotation="90" wrapText="1" readingOrder="1"/>
    </xf>
    <xf numFmtId="0" fontId="5" fillId="0" borderId="2" xfId="0" applyFont="1" applyBorder="1" applyAlignment="1">
      <alignment horizontal="left" textRotation="90" wrapText="1" readingOrder="1"/>
    </xf>
    <xf numFmtId="0" fontId="5" fillId="0" borderId="29" xfId="0" applyFont="1" applyBorder="1" applyAlignment="1">
      <alignment horizontal="left" textRotation="90" wrapText="1" readingOrder="1"/>
    </xf>
    <xf numFmtId="0" fontId="5" fillId="0" borderId="40" xfId="0" applyFont="1" applyBorder="1" applyAlignment="1">
      <alignment horizontal="left" textRotation="90" wrapText="1" readingOrder="1"/>
    </xf>
    <xf numFmtId="165" fontId="2" fillId="0" borderId="6" xfId="1" applyNumberFormat="1" applyFont="1" applyBorder="1" applyAlignment="1">
      <alignment horizontal="right" vertical="center"/>
    </xf>
    <xf numFmtId="165" fontId="2" fillId="0" borderId="7" xfId="1" applyNumberFormat="1" applyFont="1" applyBorder="1" applyAlignment="1">
      <alignment horizontal="right" vertical="center"/>
    </xf>
    <xf numFmtId="165" fontId="2" fillId="0" borderId="11" xfId="1" applyNumberFormat="1" applyFont="1" applyBorder="1" applyAlignment="1">
      <alignment horizontal="right" vertical="center"/>
    </xf>
    <xf numFmtId="165" fontId="2" fillId="0" borderId="12" xfId="1" applyNumberFormat="1" applyFont="1" applyBorder="1" applyAlignment="1">
      <alignment horizontal="right" vertical="center"/>
    </xf>
    <xf numFmtId="165" fontId="2" fillId="0" borderId="16" xfId="1" applyNumberFormat="1" applyFont="1" applyBorder="1" applyAlignment="1">
      <alignment horizontal="right" vertical="center"/>
    </xf>
    <xf numFmtId="165" fontId="2" fillId="0" borderId="14" xfId="1" applyNumberFormat="1" applyFont="1" applyBorder="1" applyAlignment="1">
      <alignment horizontal="right" vertical="center"/>
    </xf>
    <xf numFmtId="165" fontId="2" fillId="2" borderId="7" xfId="1" applyNumberFormat="1" applyFont="1" applyFill="1" applyBorder="1" applyAlignment="1">
      <alignment horizontal="right" vertical="center"/>
    </xf>
    <xf numFmtId="165" fontId="2" fillId="2" borderId="12" xfId="1" applyNumberFormat="1" applyFont="1" applyFill="1" applyBorder="1" applyAlignment="1">
      <alignment horizontal="right" vertical="center"/>
    </xf>
    <xf numFmtId="165" fontId="2" fillId="2" borderId="14" xfId="1" applyNumberFormat="1" applyFont="1" applyFill="1" applyBorder="1" applyAlignment="1">
      <alignment horizontal="right" vertical="center"/>
    </xf>
    <xf numFmtId="167" fontId="11" fillId="3" borderId="0" xfId="1" applyNumberFormat="1" applyFont="1" applyFill="1" applyBorder="1" applyAlignment="1">
      <alignment horizontal="right"/>
    </xf>
    <xf numFmtId="167" fontId="11" fillId="3" borderId="0" xfId="0" applyNumberFormat="1" applyFont="1" applyFill="1" applyAlignment="1">
      <alignment horizontal="right"/>
    </xf>
    <xf numFmtId="167" fontId="11" fillId="3" borderId="33" xfId="0" applyNumberFormat="1" applyFont="1" applyFill="1" applyBorder="1" applyAlignment="1">
      <alignment horizontal="right"/>
    </xf>
    <xf numFmtId="165" fontId="11" fillId="3" borderId="0" xfId="1" applyNumberFormat="1" applyFont="1" applyFill="1" applyBorder="1" applyAlignment="1">
      <alignment horizontal="right"/>
    </xf>
    <xf numFmtId="165" fontId="11" fillId="3" borderId="0" xfId="0" applyNumberFormat="1" applyFont="1" applyFill="1" applyAlignment="1">
      <alignment horizontal="right"/>
    </xf>
    <xf numFmtId="0" fontId="11" fillId="2" borderId="21" xfId="0" applyFont="1" applyFill="1" applyBorder="1" applyAlignment="1">
      <alignment horizontal="center" vertical="center" textRotation="90" wrapText="1"/>
    </xf>
    <xf numFmtId="0" fontId="11" fillId="2" borderId="22" xfId="0" applyFont="1" applyFill="1" applyBorder="1" applyAlignment="1">
      <alignment horizontal="center" vertical="center" textRotation="90" wrapText="1"/>
    </xf>
    <xf numFmtId="0" fontId="11" fillId="2" borderId="23" xfId="0" applyFont="1" applyFill="1" applyBorder="1" applyAlignment="1">
      <alignment horizontal="center" vertical="center" textRotation="90" wrapText="1"/>
    </xf>
    <xf numFmtId="0" fontId="11" fillId="2" borderId="18" xfId="0" applyFont="1" applyFill="1" applyBorder="1" applyAlignment="1">
      <alignment horizontal="center" vertical="center" textRotation="90" wrapText="1"/>
    </xf>
    <xf numFmtId="0" fontId="11" fillId="2" borderId="19" xfId="0" applyFont="1" applyFill="1" applyBorder="1" applyAlignment="1">
      <alignment horizontal="center" vertical="center" textRotation="90" wrapText="1"/>
    </xf>
    <xf numFmtId="0" fontId="11" fillId="2" borderId="20" xfId="0" applyFont="1" applyFill="1" applyBorder="1" applyAlignment="1">
      <alignment horizontal="center" vertical="center" textRotation="90" wrapText="1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A1:AA26"/>
  <sheetViews>
    <sheetView tabSelected="1" zoomScale="115" zoomScaleNormal="115" zoomScaleSheetLayoutView="75" workbookViewId="0">
      <selection activeCell="O5" sqref="O5"/>
    </sheetView>
  </sheetViews>
  <sheetFormatPr defaultRowHeight="14.4" x14ac:dyDescent="0.3"/>
  <cols>
    <col min="1" max="1" width="8" style="8" customWidth="1"/>
    <col min="2" max="2" width="31.33203125" style="9" customWidth="1"/>
    <col min="3" max="4" width="7.44140625" style="23" customWidth="1"/>
    <col min="5" max="5" width="7.44140625" style="24" customWidth="1"/>
    <col min="6" max="10" width="7.44140625" style="6" customWidth="1"/>
    <col min="11" max="11" width="5.6640625" style="1" customWidth="1"/>
    <col min="12" max="13" width="8.21875" style="2" customWidth="1"/>
  </cols>
  <sheetData>
    <row r="1" spans="1:13" ht="15" thickBot="1" x14ac:dyDescent="0.35">
      <c r="A1" s="36"/>
      <c r="B1" s="76" t="s">
        <v>0</v>
      </c>
      <c r="C1" s="77"/>
      <c r="D1" s="77"/>
      <c r="E1" s="77"/>
      <c r="F1" s="77"/>
      <c r="G1" s="77"/>
      <c r="H1" s="78"/>
      <c r="I1" s="78"/>
      <c r="J1" s="79"/>
    </row>
    <row r="2" spans="1:13" s="89" customFormat="1" ht="29.4" customHeight="1" thickBot="1" x14ac:dyDescent="0.35">
      <c r="A2" s="80"/>
      <c r="B2" s="81" t="s">
        <v>30</v>
      </c>
      <c r="C2" s="82" t="s">
        <v>1</v>
      </c>
      <c r="D2" s="83"/>
      <c r="E2" s="83"/>
      <c r="F2" s="83"/>
      <c r="G2" s="84"/>
      <c r="H2" s="85" t="s">
        <v>2</v>
      </c>
      <c r="I2" s="85"/>
      <c r="J2" s="86"/>
      <c r="K2" s="87"/>
      <c r="L2" s="88"/>
      <c r="M2" s="88"/>
    </row>
    <row r="3" spans="1:13" s="5" customFormat="1" ht="114" customHeight="1" thickBot="1" x14ac:dyDescent="0.3">
      <c r="A3" s="36"/>
      <c r="B3" s="31"/>
      <c r="C3" s="52" t="s">
        <v>23</v>
      </c>
      <c r="D3" s="53" t="s">
        <v>24</v>
      </c>
      <c r="E3" s="53" t="s">
        <v>25</v>
      </c>
      <c r="F3" s="53" t="s">
        <v>26</v>
      </c>
      <c r="G3" s="51" t="s">
        <v>27</v>
      </c>
      <c r="H3" s="54" t="s">
        <v>28</v>
      </c>
      <c r="I3" s="55" t="s">
        <v>22</v>
      </c>
      <c r="J3" s="51" t="s">
        <v>33</v>
      </c>
      <c r="K3" s="3"/>
      <c r="L3" s="4"/>
      <c r="M3" s="4"/>
    </row>
    <row r="4" spans="1:13" s="8" customFormat="1" ht="15.6" customHeight="1" thickBot="1" x14ac:dyDescent="0.3">
      <c r="A4" s="73" t="s">
        <v>29</v>
      </c>
      <c r="B4" s="33" t="s">
        <v>34</v>
      </c>
      <c r="C4" s="56">
        <v>17</v>
      </c>
      <c r="D4" s="57" t="s">
        <v>3</v>
      </c>
      <c r="E4" s="57">
        <v>1</v>
      </c>
      <c r="F4" s="57">
        <v>0</v>
      </c>
      <c r="G4" s="32" t="s">
        <v>3</v>
      </c>
      <c r="H4" s="48">
        <v>0</v>
      </c>
      <c r="I4" s="25">
        <v>0</v>
      </c>
      <c r="J4" s="26">
        <v>0</v>
      </c>
      <c r="K4" s="6"/>
      <c r="L4" s="7"/>
      <c r="M4" s="7"/>
    </row>
    <row r="5" spans="1:13" s="8" customFormat="1" ht="15.6" customHeight="1" x14ac:dyDescent="0.25">
      <c r="A5" s="74"/>
      <c r="B5" s="34" t="s">
        <v>4</v>
      </c>
      <c r="C5" s="58">
        <v>23</v>
      </c>
      <c r="D5" s="59" t="s">
        <v>3</v>
      </c>
      <c r="E5" s="59">
        <v>0</v>
      </c>
      <c r="F5" s="59">
        <v>3</v>
      </c>
      <c r="G5" s="18" t="s">
        <v>3</v>
      </c>
      <c r="H5" s="49">
        <v>0.28999999999999998</v>
      </c>
      <c r="I5" s="27">
        <v>0.14000000000000001</v>
      </c>
      <c r="J5" s="26">
        <v>0.28999999999999998</v>
      </c>
      <c r="K5" s="6"/>
      <c r="L5" s="7"/>
      <c r="M5" s="7"/>
    </row>
    <row r="6" spans="1:13" s="8" customFormat="1" ht="15.6" customHeight="1" x14ac:dyDescent="0.25">
      <c r="A6" s="74"/>
      <c r="B6" s="34" t="s">
        <v>5</v>
      </c>
      <c r="C6" s="58">
        <v>19</v>
      </c>
      <c r="D6" s="59" t="s">
        <v>3</v>
      </c>
      <c r="E6" s="59">
        <v>0</v>
      </c>
      <c r="F6" s="59">
        <v>1</v>
      </c>
      <c r="G6" s="18" t="s">
        <v>3</v>
      </c>
      <c r="H6" s="49">
        <v>0</v>
      </c>
      <c r="I6" s="27">
        <v>0</v>
      </c>
      <c r="J6" s="28">
        <v>0</v>
      </c>
      <c r="K6" s="6"/>
      <c r="L6" s="7"/>
      <c r="M6" s="7"/>
    </row>
    <row r="7" spans="1:13" s="8" customFormat="1" ht="15.6" customHeight="1" thickBot="1" x14ac:dyDescent="0.3">
      <c r="A7" s="75"/>
      <c r="B7" s="35" t="s">
        <v>6</v>
      </c>
      <c r="C7" s="60">
        <v>0</v>
      </c>
      <c r="D7" s="61">
        <v>14</v>
      </c>
      <c r="E7" s="61">
        <v>3</v>
      </c>
      <c r="F7" s="61">
        <v>0</v>
      </c>
      <c r="G7" s="19" t="s">
        <v>3</v>
      </c>
      <c r="H7" s="50">
        <v>0.43</v>
      </c>
      <c r="I7" s="29">
        <v>0.28999999999999998</v>
      </c>
      <c r="J7" s="30">
        <v>0.14000000000000001</v>
      </c>
      <c r="K7" s="6"/>
      <c r="L7" s="7"/>
      <c r="M7" s="7"/>
    </row>
    <row r="8" spans="1:13" s="8" customFormat="1" ht="15.6" customHeight="1" x14ac:dyDescent="0.25">
      <c r="A8" s="73" t="s">
        <v>31</v>
      </c>
      <c r="B8" s="33" t="s">
        <v>7</v>
      </c>
      <c r="C8" s="56">
        <v>18</v>
      </c>
      <c r="D8" s="57">
        <v>1</v>
      </c>
      <c r="E8" s="57">
        <v>3</v>
      </c>
      <c r="F8" s="57">
        <v>5</v>
      </c>
      <c r="G8" s="32" t="s">
        <v>3</v>
      </c>
      <c r="H8" s="48">
        <v>0.33</v>
      </c>
      <c r="I8" s="25">
        <v>0.33</v>
      </c>
      <c r="J8" s="26">
        <v>0</v>
      </c>
      <c r="K8" s="6"/>
      <c r="L8" s="7"/>
      <c r="M8" s="7"/>
    </row>
    <row r="9" spans="1:13" s="8" customFormat="1" ht="15.6" customHeight="1" thickBot="1" x14ac:dyDescent="0.3">
      <c r="A9" s="74"/>
      <c r="B9" s="34" t="s">
        <v>8</v>
      </c>
      <c r="C9" s="58">
        <v>43</v>
      </c>
      <c r="D9" s="59">
        <v>17</v>
      </c>
      <c r="E9" s="59">
        <v>0</v>
      </c>
      <c r="F9" s="59">
        <v>3</v>
      </c>
      <c r="G9" s="18" t="s">
        <v>3</v>
      </c>
      <c r="H9" s="49">
        <v>0.44</v>
      </c>
      <c r="I9" s="27">
        <v>0.44</v>
      </c>
      <c r="J9" s="30">
        <v>0.11</v>
      </c>
      <c r="K9" s="6"/>
      <c r="L9" s="7"/>
      <c r="M9" s="7"/>
    </row>
    <row r="10" spans="1:13" s="8" customFormat="1" ht="15.6" customHeight="1" x14ac:dyDescent="0.25">
      <c r="A10" s="74"/>
      <c r="B10" s="34" t="s">
        <v>16</v>
      </c>
      <c r="C10" s="58">
        <v>0</v>
      </c>
      <c r="D10" s="59">
        <v>3</v>
      </c>
      <c r="E10" s="59">
        <v>0</v>
      </c>
      <c r="F10" s="59">
        <v>0</v>
      </c>
      <c r="G10" s="18" t="s">
        <v>3</v>
      </c>
      <c r="H10" s="49">
        <v>0.56999999999999995</v>
      </c>
      <c r="I10" s="27">
        <v>0.71</v>
      </c>
      <c r="J10" s="28">
        <v>0</v>
      </c>
      <c r="K10" s="6"/>
      <c r="L10" s="7"/>
      <c r="M10" s="7"/>
    </row>
    <row r="11" spans="1:13" s="8" customFormat="1" ht="15.6" customHeight="1" thickBot="1" x14ac:dyDescent="0.3">
      <c r="A11" s="75"/>
      <c r="B11" s="35" t="s">
        <v>9</v>
      </c>
      <c r="C11" s="60">
        <v>0</v>
      </c>
      <c r="D11" s="61">
        <v>0</v>
      </c>
      <c r="E11" s="61">
        <v>0</v>
      </c>
      <c r="F11" s="61">
        <v>0</v>
      </c>
      <c r="G11" s="19" t="s">
        <v>3</v>
      </c>
      <c r="H11" s="50">
        <v>0</v>
      </c>
      <c r="I11" s="29">
        <v>0</v>
      </c>
      <c r="J11" s="30">
        <v>0</v>
      </c>
      <c r="K11" s="6"/>
      <c r="L11" s="7"/>
      <c r="M11" s="7"/>
    </row>
    <row r="12" spans="1:13" s="8" customFormat="1" ht="15.6" customHeight="1" x14ac:dyDescent="0.25">
      <c r="A12" s="70" t="s">
        <v>32</v>
      </c>
      <c r="B12" s="33" t="s">
        <v>17</v>
      </c>
      <c r="C12" s="56">
        <v>7</v>
      </c>
      <c r="D12" s="62">
        <v>0</v>
      </c>
      <c r="E12" s="62">
        <v>0</v>
      </c>
      <c r="F12" s="57">
        <v>0</v>
      </c>
      <c r="G12" s="32" t="s">
        <v>3</v>
      </c>
      <c r="H12" s="48">
        <v>0</v>
      </c>
      <c r="I12" s="25">
        <v>0</v>
      </c>
      <c r="J12" s="26">
        <v>0</v>
      </c>
      <c r="K12" s="6"/>
      <c r="L12" s="7"/>
      <c r="M12" s="7"/>
    </row>
    <row r="13" spans="1:13" s="8" customFormat="1" ht="15.6" customHeight="1" x14ac:dyDescent="0.25">
      <c r="A13" s="71"/>
      <c r="B13" s="34" t="s">
        <v>18</v>
      </c>
      <c r="C13" s="58">
        <v>0</v>
      </c>
      <c r="D13" s="63">
        <v>0</v>
      </c>
      <c r="E13" s="63">
        <v>0</v>
      </c>
      <c r="F13" s="59">
        <v>3</v>
      </c>
      <c r="G13" s="18" t="s">
        <v>3</v>
      </c>
      <c r="H13" s="49">
        <v>0</v>
      </c>
      <c r="I13" s="27">
        <v>0</v>
      </c>
      <c r="J13" s="28">
        <v>0</v>
      </c>
      <c r="K13" s="6"/>
      <c r="L13" s="7"/>
      <c r="M13" s="7"/>
    </row>
    <row r="14" spans="1:13" s="8" customFormat="1" ht="15.6" customHeight="1" x14ac:dyDescent="0.25">
      <c r="A14" s="71"/>
      <c r="B14" s="34" t="s">
        <v>19</v>
      </c>
      <c r="C14" s="58">
        <v>6</v>
      </c>
      <c r="D14" s="63">
        <v>3</v>
      </c>
      <c r="E14" s="63">
        <v>0</v>
      </c>
      <c r="F14" s="59">
        <v>3</v>
      </c>
      <c r="G14" s="18" t="s">
        <v>3</v>
      </c>
      <c r="H14" s="49">
        <v>0</v>
      </c>
      <c r="I14" s="27">
        <v>0</v>
      </c>
      <c r="J14" s="28">
        <v>0</v>
      </c>
      <c r="K14" s="6"/>
      <c r="L14" s="7"/>
      <c r="M14" s="7"/>
    </row>
    <row r="15" spans="1:13" s="8" customFormat="1" ht="15.6" customHeight="1" x14ac:dyDescent="0.25">
      <c r="A15" s="71"/>
      <c r="B15" s="34" t="s">
        <v>20</v>
      </c>
      <c r="C15" s="58">
        <v>7</v>
      </c>
      <c r="D15" s="63">
        <v>0</v>
      </c>
      <c r="E15" s="63">
        <v>0</v>
      </c>
      <c r="F15" s="59">
        <v>0</v>
      </c>
      <c r="G15" s="18" t="s">
        <v>3</v>
      </c>
      <c r="H15" s="49">
        <v>0</v>
      </c>
      <c r="I15" s="27">
        <v>0</v>
      </c>
      <c r="J15" s="28">
        <v>0</v>
      </c>
      <c r="K15" s="6"/>
      <c r="L15" s="7"/>
      <c r="M15" s="7"/>
    </row>
    <row r="16" spans="1:13" s="8" customFormat="1" ht="15.45" customHeight="1" thickBot="1" x14ac:dyDescent="0.3">
      <c r="A16" s="72"/>
      <c r="B16" s="35" t="s">
        <v>21</v>
      </c>
      <c r="C16" s="60">
        <v>0</v>
      </c>
      <c r="D16" s="64">
        <v>0</v>
      </c>
      <c r="E16" s="64">
        <v>1</v>
      </c>
      <c r="F16" s="61">
        <v>0</v>
      </c>
      <c r="G16" s="19" t="s">
        <v>3</v>
      </c>
      <c r="H16" s="50">
        <v>1</v>
      </c>
      <c r="I16" s="29">
        <v>0</v>
      </c>
      <c r="J16" s="30">
        <v>0</v>
      </c>
      <c r="K16" s="6"/>
      <c r="L16" s="7"/>
      <c r="M16" s="7"/>
    </row>
    <row r="17" spans="1:27" s="15" customFormat="1" ht="12" x14ac:dyDescent="0.25">
      <c r="A17" s="36"/>
      <c r="B17" s="38" t="s">
        <v>10</v>
      </c>
      <c r="C17" s="65">
        <f>SUM(C4:C16)</f>
        <v>140</v>
      </c>
      <c r="D17" s="65">
        <f>SUM(D4:D16)</f>
        <v>38</v>
      </c>
      <c r="E17" s="65">
        <f>SUM(E4:E16)</f>
        <v>8</v>
      </c>
      <c r="F17" s="65">
        <f>SUM(F4:F16)</f>
        <v>18</v>
      </c>
      <c r="G17" s="68">
        <v>30</v>
      </c>
      <c r="H17" s="39" t="s">
        <v>3</v>
      </c>
      <c r="I17" s="39" t="s">
        <v>3</v>
      </c>
      <c r="J17" s="40" t="s">
        <v>3</v>
      </c>
      <c r="K17" s="14"/>
    </row>
    <row r="18" spans="1:27" s="17" customFormat="1" x14ac:dyDescent="0.3">
      <c r="A18" s="37"/>
      <c r="B18" s="41" t="s">
        <v>11</v>
      </c>
      <c r="C18" s="65">
        <v>30</v>
      </c>
      <c r="D18" s="66">
        <v>25</v>
      </c>
      <c r="E18" s="65">
        <v>30</v>
      </c>
      <c r="F18" s="65">
        <v>30</v>
      </c>
      <c r="G18" s="69">
        <v>15</v>
      </c>
      <c r="H18" s="42">
        <v>0.25</v>
      </c>
      <c r="I18" s="42">
        <v>0.25</v>
      </c>
      <c r="J18" s="43">
        <v>0.25</v>
      </c>
      <c r="K18" s="13"/>
      <c r="L18" s="16"/>
      <c r="M18" s="16"/>
    </row>
    <row r="19" spans="1:27" s="17" customFormat="1" ht="15" thickBot="1" x14ac:dyDescent="0.35">
      <c r="A19" s="37"/>
      <c r="B19" s="44" t="s">
        <v>35</v>
      </c>
      <c r="C19" s="67">
        <f>C18/13</f>
        <v>2.3076923076923075</v>
      </c>
      <c r="D19" s="67">
        <f t="shared" ref="D19:F19" si="0">D18/13</f>
        <v>1.9230769230769231</v>
      </c>
      <c r="E19" s="67">
        <f t="shared" si="0"/>
        <v>2.3076923076923075</v>
      </c>
      <c r="F19" s="67">
        <f t="shared" si="0"/>
        <v>2.3076923076923075</v>
      </c>
      <c r="G19" s="45" t="s">
        <v>3</v>
      </c>
      <c r="H19" s="46">
        <v>0.25</v>
      </c>
      <c r="I19" s="46">
        <v>0.25</v>
      </c>
      <c r="J19" s="47">
        <v>0.25</v>
      </c>
      <c r="K19" s="13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1" spans="1:27" hidden="1" x14ac:dyDescent="0.3">
      <c r="B21" s="10" t="s">
        <v>12</v>
      </c>
      <c r="C21" s="20"/>
      <c r="D21" s="20"/>
      <c r="E21" s="21"/>
      <c r="F21" s="22"/>
      <c r="G21" s="22"/>
      <c r="H21" s="22"/>
      <c r="I21" s="22"/>
      <c r="J21" s="22"/>
      <c r="K21" s="11"/>
    </row>
    <row r="22" spans="1:27" hidden="1" x14ac:dyDescent="0.3">
      <c r="B22" s="12" t="s">
        <v>13</v>
      </c>
      <c r="C22" s="20"/>
      <c r="D22" s="20"/>
      <c r="E22" s="21"/>
      <c r="F22" s="22"/>
      <c r="G22" s="22"/>
      <c r="H22" s="22"/>
      <c r="I22" s="22"/>
      <c r="J22" s="22"/>
      <c r="K22" s="11"/>
    </row>
    <row r="23" spans="1:27" hidden="1" x14ac:dyDescent="0.3">
      <c r="B23" s="12" t="s">
        <v>14</v>
      </c>
      <c r="C23" s="20"/>
      <c r="D23" s="20"/>
      <c r="E23" s="21"/>
      <c r="F23" s="22"/>
      <c r="G23" s="22"/>
      <c r="H23" s="22"/>
      <c r="I23" s="22"/>
      <c r="J23" s="22"/>
      <c r="K23" s="11"/>
    </row>
    <row r="24" spans="1:27" hidden="1" x14ac:dyDescent="0.3">
      <c r="B24" s="12" t="s">
        <v>15</v>
      </c>
    </row>
    <row r="25" spans="1:27" hidden="1" x14ac:dyDescent="0.3"/>
    <row r="26" spans="1:27" x14ac:dyDescent="0.3">
      <c r="B26" s="12"/>
    </row>
  </sheetData>
  <mergeCells count="6">
    <mergeCell ref="A12:A16"/>
    <mergeCell ref="A4:A7"/>
    <mergeCell ref="A8:A11"/>
    <mergeCell ref="B1:J1"/>
    <mergeCell ref="C2:G2"/>
    <mergeCell ref="H2:J2"/>
  </mergeCells>
  <conditionalFormatting sqref="C4:C16">
    <cfRule type="colorScale" priority="50">
      <colorScale>
        <cfvo type="min"/>
        <cfvo type="formula" val="$C$19/2"/>
        <cfvo type="formula" val="$C$19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16">
    <cfRule type="colorScale" priority="53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54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55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57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58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2026-04-30T16:30:21Z</dcterms:modified>
</cp:coreProperties>
</file>