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s_lewis_cgiar_org/Documents/TAAT/R4D/KPIS/Alekeh/"/>
    </mc:Choice>
  </mc:AlternateContent>
  <xr:revisionPtr revIDLastSave="0" documentId="8_{D059380B-7A1B-4DCE-8678-8EC5AB26F5D0}" xr6:coauthVersionLast="47" xr6:coauthVersionMax="47" xr10:uidLastSave="{00000000-0000-0000-0000-000000000000}"/>
  <bookViews>
    <workbookView xWindow="-110" yWindow="-110" windowWidth="19420" windowHeight="10300" xr2:uid="{337F11C6-13EF-4F88-9FC0-1C244F89B7E2}"/>
  </bookViews>
  <sheets>
    <sheet name="Res, Cap, Product" sheetId="1" r:id="rId1"/>
  </sheets>
  <definedNames>
    <definedName name="_Hlk200085589" localSheetId="0">'Res, Cap, Product'!#REF!</definedName>
    <definedName name="_xlnm.Print_Area" localSheetId="0">'Res, Cap, Product'!$B$1:$P$19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N19" i="1"/>
  <c r="J19" i="1"/>
  <c r="I19" i="1"/>
  <c r="H19" i="1"/>
  <c r="G19" i="1"/>
  <c r="D19" i="1"/>
  <c r="O17" i="1"/>
  <c r="N17" i="1"/>
  <c r="K17" i="1"/>
  <c r="J17" i="1"/>
  <c r="I17" i="1"/>
  <c r="H17" i="1"/>
  <c r="G17" i="1"/>
  <c r="F17" i="1"/>
  <c r="D17" i="1"/>
</calcChain>
</file>

<file path=xl/sharedStrings.xml><?xml version="1.0" encoding="utf-8"?>
<sst xmlns="http://schemas.openxmlformats.org/spreadsheetml/2006/main" count="74" uniqueCount="39">
  <si>
    <t>KPI by #</t>
  </si>
  <si>
    <t>Research Outputs</t>
  </si>
  <si>
    <t>Training and Capacity Building</t>
  </si>
  <si>
    <t>Product Development</t>
  </si>
  <si>
    <t>Number of papers published in Thomson-indexed journals</t>
  </si>
  <si>
    <t>Number of papers published in Thomson-indexed journals per IRS</t>
  </si>
  <si>
    <t>Number of Thomson-indexed publications with an impact factor greater than 10.</t>
  </si>
  <si>
    <t>Number of MSc and PhD students enrolled at IITA</t>
  </si>
  <si>
    <t>Number of MSc and PhD thesis defended and accepted</t>
  </si>
  <si>
    <t>Number of extensionists, value chain actors etc.   trained in IITA innovations</t>
  </si>
  <si>
    <t>Number of people (NARS) attending courses delivered by scientists and specialists</t>
  </si>
  <si>
    <t>Varieties released</t>
  </si>
  <si>
    <t>Annual rate of genetic gain, by crop (%)</t>
  </si>
  <si>
    <t>Crop Trust Performance Compliance Rate</t>
  </si>
  <si>
    <t>Number of IITA innovations incorporated into the TAAT e-Catalogue</t>
  </si>
  <si>
    <t>Number of IITA innovations taken on by scaling partners (e.g., IFIs, private sector)</t>
  </si>
  <si>
    <t>GI</t>
  </si>
  <si>
    <t>Biotech</t>
  </si>
  <si>
    <t>N/A</t>
  </si>
  <si>
    <t>Breeding</t>
  </si>
  <si>
    <t>Genebanks</t>
  </si>
  <si>
    <t>Seed System</t>
  </si>
  <si>
    <t>RAFS</t>
  </si>
  <si>
    <t>Plant Health</t>
  </si>
  <si>
    <t>Farming Systems Agronomy</t>
  </si>
  <si>
    <t>NRM</t>
  </si>
  <si>
    <t>Mechanization</t>
  </si>
  <si>
    <t>ST</t>
  </si>
  <si>
    <t>FIAS</t>
  </si>
  <si>
    <t>GeYSI</t>
  </si>
  <si>
    <t>RCA</t>
  </si>
  <si>
    <t>Nutrition</t>
  </si>
  <si>
    <t>VCMA</t>
  </si>
  <si>
    <t>2025 Actual Values</t>
  </si>
  <si>
    <t>Annual Target</t>
  </si>
  <si>
    <t>Per Program Target (target/13)</t>
  </si>
  <si>
    <t>Comments</t>
  </si>
  <si>
    <t xml:space="preserve">It looks like the colorscheme is not consistently applied everywhere </t>
  </si>
  <si>
    <t>(e.g., see the different versions of red in cells G4 and H4)?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</si>
</sst>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0.0%"/>
    <numFmt numFmtId="167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8"/>
      <color rgb="FF0070C0"/>
      <name val="Calibri"/>
      <family val="2"/>
    </font>
    <font>
      <sz val="9"/>
      <color theme="1"/>
      <name val="Calibri"/>
      <family val="2"/>
    </font>
    <font>
      <b/>
      <sz val="18"/>
      <color rgb="FF00B0F0"/>
      <name val="Calibri"/>
      <family val="2"/>
    </font>
    <font>
      <b/>
      <sz val="10"/>
      <color rgb="FF0070C0"/>
      <name val="Calibri"/>
      <family val="2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sz val="9"/>
      <color theme="1"/>
      <name val="Aptos Narrow"/>
      <family val="2"/>
      <scheme val="minor"/>
    </font>
    <font>
      <b/>
      <sz val="11"/>
      <color rgb="FF00B050"/>
      <name val="Calibri"/>
      <family val="2"/>
    </font>
    <font>
      <b/>
      <sz val="9"/>
      <color rgb="FF00B050"/>
      <name val="Calibri"/>
      <family val="2"/>
    </font>
    <font>
      <b/>
      <sz val="11"/>
      <color rgb="FF00B05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9"/>
      <color rgb="FF0070C0"/>
      <name val="Calibri"/>
      <family val="2"/>
    </font>
    <font>
      <b/>
      <sz val="8"/>
      <color rgb="FF0070C0"/>
      <name val="Calibri"/>
      <family val="2"/>
    </font>
    <font>
      <b/>
      <sz val="9"/>
      <color theme="1"/>
      <name val="Calibri"/>
      <family val="2"/>
    </font>
    <font>
      <b/>
      <sz val="14"/>
      <color rgb="FFFF0000"/>
      <name val="Calibri"/>
      <family val="2"/>
    </font>
    <font>
      <sz val="14"/>
      <color rgb="FFFF0000"/>
      <name val="Calibri"/>
      <family val="2"/>
    </font>
    <font>
      <sz val="16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thin">
        <color rgb="FF00B050"/>
      </bottom>
      <diagonal/>
    </border>
    <border>
      <left style="medium">
        <color theme="1"/>
      </left>
      <right/>
      <top style="thin">
        <color rgb="FF00B050"/>
      </top>
      <bottom style="thin">
        <color rgb="FF00B050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rgb="FF00B050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164" fontId="2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vertical="top"/>
    </xf>
    <xf numFmtId="0" fontId="5" fillId="2" borderId="7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164" fontId="2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4" fillId="0" borderId="0" xfId="0" applyFont="1"/>
    <xf numFmtId="0" fontId="4" fillId="0" borderId="12" xfId="0" applyFont="1" applyBorder="1" applyAlignment="1">
      <alignment horizontal="left" vertical="top"/>
    </xf>
    <xf numFmtId="0" fontId="7" fillId="0" borderId="13" xfId="0" applyFont="1" applyBorder="1" applyAlignment="1">
      <alignment horizontal="center" textRotation="90" wrapText="1" readingOrder="1"/>
    </xf>
    <xf numFmtId="0" fontId="7" fillId="0" borderId="14" xfId="0" applyFont="1" applyBorder="1" applyAlignment="1">
      <alignment horizontal="center" textRotation="90" wrapText="1" readingOrder="1"/>
    </xf>
    <xf numFmtId="0" fontId="7" fillId="0" borderId="15" xfId="0" applyFont="1" applyBorder="1" applyAlignment="1">
      <alignment horizontal="center" textRotation="90" wrapText="1" readingOrder="1"/>
    </xf>
    <xf numFmtId="0" fontId="4" fillId="0" borderId="14" xfId="0" applyFont="1" applyBorder="1" applyAlignment="1">
      <alignment horizontal="center" textRotation="90" wrapText="1" readingOrder="1"/>
    </xf>
    <xf numFmtId="0" fontId="4" fillId="0" borderId="0" xfId="0" applyFont="1" applyAlignment="1">
      <alignment horizontal="center" readingOrder="1"/>
    </xf>
    <xf numFmtId="164" fontId="4" fillId="0" borderId="0" xfId="0" applyNumberFormat="1" applyFont="1"/>
    <xf numFmtId="164" fontId="9" fillId="0" borderId="0" xfId="0" applyNumberFormat="1" applyFont="1"/>
    <xf numFmtId="0" fontId="9" fillId="0" borderId="0" xfId="0" applyFont="1"/>
    <xf numFmtId="0" fontId="7" fillId="0" borderId="8" xfId="0" applyFont="1" applyBorder="1" applyAlignment="1">
      <alignment horizontal="left" vertical="center" wrapText="1"/>
    </xf>
    <xf numFmtId="164" fontId="4" fillId="0" borderId="9" xfId="0" applyNumberFormat="1" applyFont="1" applyBorder="1" applyAlignment="1">
      <alignment horizontal="center"/>
    </xf>
    <xf numFmtId="164" fontId="4" fillId="0" borderId="10" xfId="1" applyNumberFormat="1" applyFont="1" applyBorder="1" applyAlignment="1">
      <alignment horizontal="center"/>
    </xf>
    <xf numFmtId="164" fontId="4" fillId="0" borderId="11" xfId="2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7" fillId="0" borderId="19" xfId="0" applyFont="1" applyBorder="1" applyAlignment="1">
      <alignment horizontal="left" vertical="center" wrapText="1"/>
    </xf>
    <xf numFmtId="164" fontId="4" fillId="0" borderId="20" xfId="0" applyNumberFormat="1" applyFont="1" applyBorder="1" applyAlignment="1">
      <alignment horizontal="center"/>
    </xf>
    <xf numFmtId="164" fontId="4" fillId="0" borderId="21" xfId="1" applyNumberFormat="1" applyFont="1" applyBorder="1" applyAlignment="1">
      <alignment horizontal="center"/>
    </xf>
    <xf numFmtId="164" fontId="4" fillId="0" borderId="22" xfId="2" applyNumberFormat="1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  <xf numFmtId="166" fontId="4" fillId="0" borderId="21" xfId="2" applyNumberFormat="1" applyFont="1" applyBorder="1" applyAlignment="1">
      <alignment horizontal="left" indent="1"/>
    </xf>
    <xf numFmtId="9" fontId="4" fillId="0" borderId="21" xfId="2" applyFont="1" applyBorder="1" applyAlignment="1">
      <alignment horizontal="center"/>
    </xf>
    <xf numFmtId="0" fontId="7" fillId="0" borderId="24" xfId="0" applyFont="1" applyBorder="1" applyAlignment="1">
      <alignment horizontal="left" vertical="center" wrapText="1"/>
    </xf>
    <xf numFmtId="164" fontId="4" fillId="0" borderId="25" xfId="0" applyNumberFormat="1" applyFont="1" applyBorder="1" applyAlignment="1">
      <alignment horizontal="center"/>
    </xf>
    <xf numFmtId="164" fontId="4" fillId="0" borderId="26" xfId="1" applyNumberFormat="1" applyFont="1" applyBorder="1" applyAlignment="1">
      <alignment horizontal="center"/>
    </xf>
    <xf numFmtId="164" fontId="4" fillId="0" borderId="27" xfId="2" applyNumberFormat="1" applyFont="1" applyBorder="1" applyAlignment="1">
      <alignment horizontal="center"/>
    </xf>
    <xf numFmtId="164" fontId="4" fillId="0" borderId="26" xfId="0" applyNumberFormat="1" applyFont="1" applyBorder="1" applyAlignment="1">
      <alignment horizontal="center"/>
    </xf>
    <xf numFmtId="164" fontId="4" fillId="0" borderId="27" xfId="0" applyNumberFormat="1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167" fontId="11" fillId="0" borderId="0" xfId="1" applyNumberFormat="1" applyFont="1" applyAlignment="1"/>
    <xf numFmtId="165" fontId="11" fillId="0" borderId="0" xfId="1" applyNumberFormat="1" applyFont="1" applyAlignment="1"/>
    <xf numFmtId="9" fontId="11" fillId="0" borderId="0" xfId="2" applyFont="1" applyAlignment="1"/>
    <xf numFmtId="164" fontId="12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67" fontId="14" fillId="0" borderId="0" xfId="1" applyNumberFormat="1" applyFont="1" applyAlignment="1"/>
    <xf numFmtId="0" fontId="14" fillId="0" borderId="0" xfId="2" applyNumberFormat="1" applyFont="1" applyAlignment="1"/>
    <xf numFmtId="167" fontId="15" fillId="0" borderId="0" xfId="1" applyNumberFormat="1" applyFont="1" applyAlignment="1"/>
    <xf numFmtId="10" fontId="14" fillId="0" borderId="0" xfId="2" applyNumberFormat="1" applyFont="1" applyAlignment="1"/>
    <xf numFmtId="9" fontId="14" fillId="0" borderId="0" xfId="0" applyNumberFormat="1" applyFont="1"/>
    <xf numFmtId="0" fontId="14" fillId="0" borderId="0" xfId="0" applyFont="1" applyAlignment="1">
      <alignment horizontal="center"/>
    </xf>
    <xf numFmtId="164" fontId="13" fillId="0" borderId="0" xfId="0" applyNumberFormat="1" applyFont="1"/>
    <xf numFmtId="2" fontId="14" fillId="0" borderId="0" xfId="0" applyNumberFormat="1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167" fontId="4" fillId="0" borderId="0" xfId="1" applyNumberFormat="1" applyFont="1" applyAlignment="1"/>
    <xf numFmtId="9" fontId="4" fillId="0" borderId="0" xfId="2" applyFont="1" applyAlignment="1">
      <alignment horizontal="center"/>
    </xf>
    <xf numFmtId="0" fontId="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2" borderId="28" xfId="0" applyFont="1" applyFill="1" applyBorder="1" applyAlignment="1">
      <alignment horizontal="center" vertical="center" textRotation="90"/>
    </xf>
    <xf numFmtId="0" fontId="6" fillId="2" borderId="16" xfId="0" applyFont="1" applyFill="1" applyBorder="1" applyAlignment="1">
      <alignment horizontal="center" vertical="center" textRotation="90"/>
    </xf>
    <xf numFmtId="0" fontId="6" fillId="2" borderId="29" xfId="0" applyFont="1" applyFill="1" applyBorder="1" applyAlignment="1">
      <alignment horizontal="center" vertical="center" textRotation="90"/>
    </xf>
    <xf numFmtId="0" fontId="6" fillId="2" borderId="17" xfId="0" applyFont="1" applyFill="1" applyBorder="1" applyAlignment="1">
      <alignment horizontal="center" vertical="center" textRotation="90"/>
    </xf>
    <xf numFmtId="0" fontId="6" fillId="2" borderId="18" xfId="0" applyFont="1" applyFill="1" applyBorder="1" applyAlignment="1">
      <alignment horizontal="center" vertical="center" textRotation="90"/>
    </xf>
    <xf numFmtId="0" fontId="6" fillId="2" borderId="23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275166</xdr:colOff>
      <xdr:row>16</xdr:row>
      <xdr:rowOff>10582</xdr:rowOff>
    </xdr:from>
    <xdr:to>
      <xdr:col>19</xdr:col>
      <xdr:colOff>222249</xdr:colOff>
      <xdr:row>24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F85C59-8DBD-9DA7-6DCA-6A191DC6EEBE}"/>
            </a:ext>
          </a:extLst>
        </xdr:cNvPr>
        <xdr:cNvSpPr txBox="1"/>
      </xdr:nvSpPr>
      <xdr:spPr>
        <a:xfrm>
          <a:off x="9270999" y="4952999"/>
          <a:ext cx="2180167" cy="8360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Also</a:t>
          </a:r>
          <a:r>
            <a:rPr lang="en-US" sz="1100" baseline="0"/>
            <a:t> make these numbers in row 17 to 19 here very clear and in a nicely presented format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31C8-69EF-4DD5-89CA-EBB95AF7C647}">
  <sheetPr>
    <tabColor rgb="FFFF0000"/>
    <pageSetUpPr fitToPage="1"/>
  </sheetPr>
  <dimension ref="A1:V24"/>
  <sheetViews>
    <sheetView tabSelected="1" zoomScale="60" zoomScaleNormal="60" zoomScaleSheetLayoutView="75" workbookViewId="0">
      <pane ySplit="3" topLeftCell="A4" activePane="bottomLeft" state="frozen"/>
      <selection activeCell="D3" sqref="D3:E3"/>
      <selection pane="bottomLeft" activeCell="T25" sqref="T25"/>
    </sheetView>
  </sheetViews>
  <sheetFormatPr defaultRowHeight="14.5" x14ac:dyDescent="0.35"/>
  <cols>
    <col min="1" max="1" width="4.26953125" customWidth="1"/>
    <col min="2" max="2" width="3.26953125" bestFit="1" customWidth="1"/>
    <col min="3" max="3" width="24.90625" style="62" bestFit="1" customWidth="1"/>
    <col min="4" max="4" width="8" style="2" customWidth="1"/>
    <col min="5" max="5" width="8" style="60" customWidth="1"/>
    <col min="6" max="6" width="8" style="61" customWidth="1"/>
    <col min="7" max="15" width="8" style="2" customWidth="1"/>
    <col min="16" max="16" width="9.36328125" style="2" customWidth="1"/>
    <col min="17" max="17" width="6.26953125" style="4" customWidth="1"/>
    <col min="18" max="22" width="8.1796875" style="4" customWidth="1"/>
  </cols>
  <sheetData>
    <row r="1" spans="1:22" ht="24" thickBot="1" x14ac:dyDescent="0.6">
      <c r="A1" s="1"/>
      <c r="B1" s="1"/>
      <c r="C1" s="72" t="s">
        <v>0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4"/>
      <c r="Q1" s="3"/>
    </row>
    <row r="2" spans="1:22" s="10" customFormat="1" ht="16" customHeight="1" thickBot="1" x14ac:dyDescent="0.4">
      <c r="A2" s="5"/>
      <c r="B2" s="5"/>
      <c r="C2" s="6"/>
      <c r="D2" s="75" t="s">
        <v>1</v>
      </c>
      <c r="E2" s="76"/>
      <c r="F2" s="77"/>
      <c r="G2" s="78" t="s">
        <v>2</v>
      </c>
      <c r="H2" s="79"/>
      <c r="I2" s="79"/>
      <c r="J2" s="80"/>
      <c r="K2" s="78" t="s">
        <v>3</v>
      </c>
      <c r="L2" s="79"/>
      <c r="M2" s="79"/>
      <c r="N2" s="79"/>
      <c r="O2" s="80"/>
      <c r="P2" s="7"/>
      <c r="Q2" s="8"/>
      <c r="R2" s="9"/>
      <c r="S2" s="9"/>
      <c r="T2" s="9"/>
      <c r="U2" s="9"/>
      <c r="V2" s="9"/>
    </row>
    <row r="3" spans="1:22" s="20" customFormat="1" ht="143.5" customHeight="1" thickBot="1" x14ac:dyDescent="0.35">
      <c r="A3" s="11"/>
      <c r="B3" s="11"/>
      <c r="C3" s="12"/>
      <c r="D3" s="13" t="s">
        <v>4</v>
      </c>
      <c r="E3" s="14" t="s">
        <v>5</v>
      </c>
      <c r="F3" s="15" t="s">
        <v>6</v>
      </c>
      <c r="G3" s="13" t="s">
        <v>7</v>
      </c>
      <c r="H3" s="14" t="s">
        <v>8</v>
      </c>
      <c r="I3" s="14" t="s">
        <v>9</v>
      </c>
      <c r="J3" s="15" t="s">
        <v>10</v>
      </c>
      <c r="K3" s="13" t="s">
        <v>11</v>
      </c>
      <c r="L3" s="16" t="s">
        <v>12</v>
      </c>
      <c r="M3" s="16" t="s">
        <v>13</v>
      </c>
      <c r="N3" s="14" t="s">
        <v>14</v>
      </c>
      <c r="O3" s="15" t="s">
        <v>15</v>
      </c>
      <c r="P3" s="17"/>
      <c r="Q3" s="18"/>
      <c r="R3" s="19"/>
      <c r="S3" s="19"/>
      <c r="T3" s="19"/>
      <c r="U3" s="19"/>
      <c r="V3" s="19"/>
    </row>
    <row r="4" spans="1:22" ht="15.65" customHeight="1" x14ac:dyDescent="0.35">
      <c r="A4" s="1"/>
      <c r="B4" s="69" t="s">
        <v>16</v>
      </c>
      <c r="C4" s="21" t="s">
        <v>17</v>
      </c>
      <c r="D4" s="22">
        <v>22</v>
      </c>
      <c r="E4" s="23">
        <v>3.1428571428571428</v>
      </c>
      <c r="F4" s="24">
        <v>1</v>
      </c>
      <c r="G4" s="22">
        <v>1</v>
      </c>
      <c r="H4" s="25">
        <v>1</v>
      </c>
      <c r="I4" s="25">
        <v>68</v>
      </c>
      <c r="J4" s="26">
        <v>184</v>
      </c>
      <c r="K4" s="22" t="s">
        <v>18</v>
      </c>
      <c r="L4" s="25" t="s">
        <v>18</v>
      </c>
      <c r="M4" s="25" t="s">
        <v>18</v>
      </c>
      <c r="N4" s="25">
        <v>1</v>
      </c>
      <c r="O4" s="26">
        <v>0</v>
      </c>
    </row>
    <row r="5" spans="1:22" ht="15.65" customHeight="1" x14ac:dyDescent="0.35">
      <c r="A5" s="1"/>
      <c r="B5" s="70"/>
      <c r="C5" s="27" t="s">
        <v>19</v>
      </c>
      <c r="D5" s="28">
        <v>35</v>
      </c>
      <c r="E5" s="29">
        <v>1.5217391304347827</v>
      </c>
      <c r="F5" s="30">
        <v>0</v>
      </c>
      <c r="G5" s="28">
        <v>24</v>
      </c>
      <c r="H5" s="31">
        <v>28</v>
      </c>
      <c r="I5" s="31">
        <v>108</v>
      </c>
      <c r="J5" s="32">
        <v>214</v>
      </c>
      <c r="K5" s="28">
        <v>15</v>
      </c>
      <c r="L5" s="33">
        <v>1.4999999999999999E-2</v>
      </c>
      <c r="M5" s="31" t="s">
        <v>18</v>
      </c>
      <c r="N5" s="31">
        <v>8</v>
      </c>
      <c r="O5" s="32">
        <v>5</v>
      </c>
    </row>
    <row r="6" spans="1:22" ht="15.65" customHeight="1" x14ac:dyDescent="0.35">
      <c r="A6" s="1"/>
      <c r="B6" s="70"/>
      <c r="C6" s="27" t="s">
        <v>20</v>
      </c>
      <c r="D6" s="28">
        <v>9</v>
      </c>
      <c r="E6" s="29">
        <v>2.25</v>
      </c>
      <c r="F6" s="30">
        <v>0</v>
      </c>
      <c r="G6" s="28">
        <v>26</v>
      </c>
      <c r="H6" s="31">
        <v>19</v>
      </c>
      <c r="I6" s="31">
        <v>5</v>
      </c>
      <c r="J6" s="32">
        <v>113</v>
      </c>
      <c r="K6" s="28" t="s">
        <v>18</v>
      </c>
      <c r="L6" s="31" t="s">
        <v>18</v>
      </c>
      <c r="M6" s="34">
        <v>1</v>
      </c>
      <c r="N6" s="31">
        <v>0</v>
      </c>
      <c r="O6" s="32">
        <v>0</v>
      </c>
    </row>
    <row r="7" spans="1:22" ht="15.65" customHeight="1" thickBot="1" x14ac:dyDescent="0.4">
      <c r="A7" s="1"/>
      <c r="B7" s="71"/>
      <c r="C7" s="35" t="s">
        <v>21</v>
      </c>
      <c r="D7" s="36">
        <v>8</v>
      </c>
      <c r="E7" s="37">
        <v>0.53333333333333333</v>
      </c>
      <c r="F7" s="38">
        <v>0</v>
      </c>
      <c r="G7" s="36">
        <v>5</v>
      </c>
      <c r="H7" s="39">
        <v>7</v>
      </c>
      <c r="I7" s="39">
        <v>2247</v>
      </c>
      <c r="J7" s="40">
        <v>309</v>
      </c>
      <c r="K7" s="36" t="s">
        <v>18</v>
      </c>
      <c r="L7" s="39" t="s">
        <v>18</v>
      </c>
      <c r="M7" s="39" t="s">
        <v>18</v>
      </c>
      <c r="N7" s="39">
        <v>17</v>
      </c>
      <c r="O7" s="40">
        <v>2</v>
      </c>
    </row>
    <row r="8" spans="1:22" ht="15.65" customHeight="1" x14ac:dyDescent="0.35">
      <c r="A8" s="1"/>
      <c r="B8" s="69" t="s">
        <v>22</v>
      </c>
      <c r="C8" s="21" t="s">
        <v>23</v>
      </c>
      <c r="D8" s="22">
        <v>56</v>
      </c>
      <c r="E8" s="23">
        <v>4.666666666666667</v>
      </c>
      <c r="F8" s="24">
        <v>1</v>
      </c>
      <c r="G8" s="22">
        <v>9</v>
      </c>
      <c r="H8" s="25">
        <v>9</v>
      </c>
      <c r="I8" s="25">
        <v>102</v>
      </c>
      <c r="J8" s="26">
        <v>10</v>
      </c>
      <c r="K8" s="22" t="s">
        <v>18</v>
      </c>
      <c r="L8" s="25" t="s">
        <v>18</v>
      </c>
      <c r="M8" s="25" t="s">
        <v>18</v>
      </c>
      <c r="N8" s="25">
        <v>6</v>
      </c>
      <c r="O8" s="26">
        <v>2</v>
      </c>
    </row>
    <row r="9" spans="1:22" ht="15.65" customHeight="1" x14ac:dyDescent="0.35">
      <c r="A9" s="1"/>
      <c r="B9" s="70"/>
      <c r="C9" s="27" t="s">
        <v>24</v>
      </c>
      <c r="D9" s="28">
        <v>13</v>
      </c>
      <c r="E9" s="29">
        <v>0.65</v>
      </c>
      <c r="F9" s="30">
        <v>1</v>
      </c>
      <c r="G9" s="28">
        <v>22</v>
      </c>
      <c r="H9" s="31">
        <v>14</v>
      </c>
      <c r="I9" s="31">
        <v>3185</v>
      </c>
      <c r="J9" s="32">
        <v>233</v>
      </c>
      <c r="K9" s="28" t="s">
        <v>18</v>
      </c>
      <c r="L9" s="31" t="s">
        <v>18</v>
      </c>
      <c r="M9" s="31" t="s">
        <v>18</v>
      </c>
      <c r="N9" s="31">
        <v>1</v>
      </c>
      <c r="O9" s="32">
        <v>9</v>
      </c>
    </row>
    <row r="10" spans="1:22" ht="15.65" customHeight="1" x14ac:dyDescent="0.35">
      <c r="A10" s="1"/>
      <c r="B10" s="70"/>
      <c r="C10" s="27" t="s">
        <v>25</v>
      </c>
      <c r="D10" s="28">
        <v>30</v>
      </c>
      <c r="E10" s="29">
        <v>4.2857142857142856</v>
      </c>
      <c r="F10" s="30">
        <v>2</v>
      </c>
      <c r="G10" s="28">
        <v>7</v>
      </c>
      <c r="H10" s="31">
        <v>3</v>
      </c>
      <c r="I10" s="31">
        <v>3754</v>
      </c>
      <c r="J10" s="32">
        <v>20</v>
      </c>
      <c r="K10" s="28" t="s">
        <v>18</v>
      </c>
      <c r="L10" s="31" t="s">
        <v>18</v>
      </c>
      <c r="M10" s="31" t="s">
        <v>18</v>
      </c>
      <c r="N10" s="31">
        <v>10</v>
      </c>
      <c r="O10" s="32">
        <v>2</v>
      </c>
    </row>
    <row r="11" spans="1:22" ht="15.65" customHeight="1" thickBot="1" x14ac:dyDescent="0.4">
      <c r="A11" s="1"/>
      <c r="B11" s="71"/>
      <c r="C11" s="35" t="s">
        <v>26</v>
      </c>
      <c r="D11" s="36">
        <v>1</v>
      </c>
      <c r="E11" s="37">
        <v>0.25</v>
      </c>
      <c r="F11" s="38">
        <v>0</v>
      </c>
      <c r="G11" s="36">
        <v>2</v>
      </c>
      <c r="H11" s="39">
        <v>1</v>
      </c>
      <c r="I11" s="39">
        <v>0</v>
      </c>
      <c r="J11" s="40">
        <v>0</v>
      </c>
      <c r="K11" s="36" t="s">
        <v>18</v>
      </c>
      <c r="L11" s="39" t="s">
        <v>18</v>
      </c>
      <c r="M11" s="39" t="s">
        <v>18</v>
      </c>
      <c r="N11" s="39">
        <v>3</v>
      </c>
      <c r="O11" s="40">
        <v>3</v>
      </c>
    </row>
    <row r="12" spans="1:22" ht="15.65" customHeight="1" x14ac:dyDescent="0.35">
      <c r="A12" s="1"/>
      <c r="B12" s="66" t="s">
        <v>27</v>
      </c>
      <c r="C12" s="21" t="s">
        <v>28</v>
      </c>
      <c r="D12" s="22">
        <v>4</v>
      </c>
      <c r="E12" s="23">
        <v>0.36363636363636365</v>
      </c>
      <c r="F12" s="24">
        <v>0</v>
      </c>
      <c r="G12" s="22">
        <v>5</v>
      </c>
      <c r="H12" s="25">
        <v>5</v>
      </c>
      <c r="I12" s="25">
        <v>94</v>
      </c>
      <c r="J12" s="26">
        <v>109</v>
      </c>
      <c r="K12" s="22" t="s">
        <v>18</v>
      </c>
      <c r="L12" s="25" t="s">
        <v>18</v>
      </c>
      <c r="M12" s="25" t="s">
        <v>18</v>
      </c>
      <c r="N12" s="25">
        <v>0</v>
      </c>
      <c r="O12" s="26">
        <v>0</v>
      </c>
    </row>
    <row r="13" spans="1:22" ht="15.65" customHeight="1" x14ac:dyDescent="0.35">
      <c r="A13" s="1"/>
      <c r="B13" s="67"/>
      <c r="C13" s="27" t="s">
        <v>29</v>
      </c>
      <c r="D13" s="28">
        <v>8</v>
      </c>
      <c r="E13" s="29">
        <v>0.72727272727272729</v>
      </c>
      <c r="F13" s="30">
        <v>0</v>
      </c>
      <c r="G13" s="28">
        <v>4</v>
      </c>
      <c r="H13" s="31">
        <v>3</v>
      </c>
      <c r="I13" s="31">
        <v>1912</v>
      </c>
      <c r="J13" s="32">
        <v>156</v>
      </c>
      <c r="K13" s="28" t="s">
        <v>18</v>
      </c>
      <c r="L13" s="31" t="s">
        <v>18</v>
      </c>
      <c r="M13" s="31" t="s">
        <v>18</v>
      </c>
      <c r="N13" s="31">
        <v>0</v>
      </c>
      <c r="O13" s="32">
        <v>0</v>
      </c>
    </row>
    <row r="14" spans="1:22" ht="15.65" customHeight="1" x14ac:dyDescent="0.35">
      <c r="A14" s="1"/>
      <c r="B14" s="67"/>
      <c r="C14" s="27" t="s">
        <v>30</v>
      </c>
      <c r="D14" s="28">
        <v>11</v>
      </c>
      <c r="E14" s="29">
        <v>2.2000000000000002</v>
      </c>
      <c r="F14" s="30">
        <v>1</v>
      </c>
      <c r="G14" s="28">
        <v>1</v>
      </c>
      <c r="H14" s="31">
        <v>2</v>
      </c>
      <c r="I14" s="31">
        <v>0</v>
      </c>
      <c r="J14" s="32">
        <v>0</v>
      </c>
      <c r="K14" s="28" t="s">
        <v>18</v>
      </c>
      <c r="L14" s="31" t="s">
        <v>18</v>
      </c>
      <c r="M14" s="31" t="s">
        <v>18</v>
      </c>
      <c r="N14" s="31">
        <v>0</v>
      </c>
      <c r="O14" s="32">
        <v>0</v>
      </c>
    </row>
    <row r="15" spans="1:22" ht="15.65" customHeight="1" x14ac:dyDescent="0.35">
      <c r="A15" s="1"/>
      <c r="B15" s="67"/>
      <c r="C15" s="27" t="s">
        <v>31</v>
      </c>
      <c r="D15" s="28">
        <v>14</v>
      </c>
      <c r="E15" s="29">
        <v>3.5</v>
      </c>
      <c r="F15" s="30">
        <v>0</v>
      </c>
      <c r="G15" s="28">
        <v>2</v>
      </c>
      <c r="H15" s="31">
        <v>8</v>
      </c>
      <c r="I15" s="31">
        <v>130</v>
      </c>
      <c r="J15" s="32">
        <v>15</v>
      </c>
      <c r="K15" s="28" t="s">
        <v>18</v>
      </c>
      <c r="L15" s="31" t="s">
        <v>18</v>
      </c>
      <c r="M15" s="31" t="s">
        <v>18</v>
      </c>
      <c r="N15" s="31">
        <v>0</v>
      </c>
      <c r="O15" s="32">
        <v>0</v>
      </c>
    </row>
    <row r="16" spans="1:22" ht="15.65" customHeight="1" thickBot="1" x14ac:dyDescent="0.4">
      <c r="A16" s="1"/>
      <c r="B16" s="68"/>
      <c r="C16" s="35" t="s">
        <v>32</v>
      </c>
      <c r="D16" s="36">
        <v>10</v>
      </c>
      <c r="E16" s="37">
        <v>1</v>
      </c>
      <c r="F16" s="38">
        <v>0</v>
      </c>
      <c r="G16" s="36">
        <v>5</v>
      </c>
      <c r="H16" s="39">
        <v>3</v>
      </c>
      <c r="I16" s="39">
        <v>1007</v>
      </c>
      <c r="J16" s="40">
        <v>81</v>
      </c>
      <c r="K16" s="36" t="s">
        <v>18</v>
      </c>
      <c r="L16" s="39" t="s">
        <v>18</v>
      </c>
      <c r="M16" s="39" t="s">
        <v>18</v>
      </c>
      <c r="N16" s="39">
        <v>5</v>
      </c>
      <c r="O16" s="40">
        <v>0</v>
      </c>
    </row>
    <row r="17" spans="1:22" s="47" customFormat="1" x14ac:dyDescent="0.35">
      <c r="A17" s="41"/>
      <c r="B17" s="41"/>
      <c r="C17" s="42" t="s">
        <v>33</v>
      </c>
      <c r="D17" s="43">
        <f>SUM(D4:D16)</f>
        <v>221</v>
      </c>
      <c r="E17" s="44">
        <v>1.930093819224254</v>
      </c>
      <c r="F17" s="43">
        <f t="shared" ref="F17:K17" si="0">SUM(F4:F16)</f>
        <v>6</v>
      </c>
      <c r="G17" s="43">
        <f t="shared" si="0"/>
        <v>113</v>
      </c>
      <c r="H17" s="43">
        <f t="shared" si="0"/>
        <v>103</v>
      </c>
      <c r="I17" s="43">
        <f t="shared" si="0"/>
        <v>12612</v>
      </c>
      <c r="J17" s="43">
        <f t="shared" si="0"/>
        <v>1444</v>
      </c>
      <c r="K17" s="43">
        <f t="shared" si="0"/>
        <v>15</v>
      </c>
      <c r="L17" s="43">
        <v>1.4999999999999999E-2</v>
      </c>
      <c r="M17" s="45">
        <v>1</v>
      </c>
      <c r="N17" s="43">
        <f>SUM(N4:N16)</f>
        <v>51</v>
      </c>
      <c r="O17" s="43">
        <f>SUM(O4:O16)</f>
        <v>23</v>
      </c>
      <c r="P17" s="42"/>
      <c r="Q17" s="46"/>
      <c r="R17" s="46"/>
      <c r="S17" s="46"/>
      <c r="T17" s="46"/>
      <c r="U17" s="46"/>
      <c r="V17" s="46"/>
    </row>
    <row r="18" spans="1:22" s="48" customFormat="1" x14ac:dyDescent="0.35">
      <c r="C18" s="49" t="s">
        <v>34</v>
      </c>
      <c r="D18" s="49">
        <v>272</v>
      </c>
      <c r="E18" s="50">
        <v>2</v>
      </c>
      <c r="F18" s="51">
        <v>1</v>
      </c>
      <c r="G18" s="49">
        <v>150</v>
      </c>
      <c r="H18" s="49">
        <v>60</v>
      </c>
      <c r="I18" s="52">
        <v>12000</v>
      </c>
      <c r="J18" s="49">
        <v>150</v>
      </c>
      <c r="K18" s="49">
        <v>1</v>
      </c>
      <c r="L18" s="53">
        <v>1.4999999999999999E-2</v>
      </c>
      <c r="M18" s="54">
        <v>1</v>
      </c>
      <c r="N18" s="49">
        <v>20</v>
      </c>
      <c r="O18" s="49">
        <v>30</v>
      </c>
      <c r="P18" s="49"/>
      <c r="Q18" s="56"/>
      <c r="R18" s="56"/>
      <c r="S18" s="56"/>
      <c r="T18" s="56"/>
      <c r="U18" s="56"/>
      <c r="V18" s="56"/>
    </row>
    <row r="19" spans="1:22" s="48" customFormat="1" x14ac:dyDescent="0.35">
      <c r="C19" s="49" t="s">
        <v>35</v>
      </c>
      <c r="D19" s="57">
        <f>D18/13</f>
        <v>20.923076923076923</v>
      </c>
      <c r="E19" s="57">
        <v>2</v>
      </c>
      <c r="F19" s="57">
        <v>1</v>
      </c>
      <c r="G19" s="57">
        <f t="shared" ref="G19:J19" si="1">G18/13</f>
        <v>11.538461538461538</v>
      </c>
      <c r="H19" s="57">
        <f t="shared" si="1"/>
        <v>4.615384615384615</v>
      </c>
      <c r="I19" s="57">
        <f t="shared" si="1"/>
        <v>923.07692307692309</v>
      </c>
      <c r="J19" s="57">
        <f t="shared" si="1"/>
        <v>11.538461538461538</v>
      </c>
      <c r="K19" s="57"/>
      <c r="L19" s="57"/>
      <c r="M19" s="57"/>
      <c r="N19" s="57">
        <f t="shared" ref="N19:O19" si="2">N18/13</f>
        <v>1.5384615384615385</v>
      </c>
      <c r="O19" s="57">
        <f t="shared" si="2"/>
        <v>2.3076923076923075</v>
      </c>
      <c r="P19" s="55"/>
      <c r="Q19" s="56"/>
      <c r="R19" s="56"/>
      <c r="S19" s="56"/>
      <c r="T19" s="56"/>
      <c r="U19" s="56"/>
      <c r="V19" s="56"/>
    </row>
    <row r="21" spans="1:22" ht="18.5" hidden="1" x14ac:dyDescent="0.45">
      <c r="C21" s="58"/>
      <c r="D21" s="59" t="s">
        <v>36</v>
      </c>
    </row>
    <row r="22" spans="1:22" ht="18.5" hidden="1" x14ac:dyDescent="0.45">
      <c r="D22" s="63" t="s">
        <v>37</v>
      </c>
    </row>
    <row r="23" spans="1:22" ht="21" hidden="1" x14ac:dyDescent="0.5">
      <c r="D23" s="64" t="s">
        <v>38</v>
      </c>
    </row>
    <row r="24" spans="1:22" hidden="1" x14ac:dyDescent="0.35">
      <c r="C24" s="65"/>
    </row>
  </sheetData>
  <mergeCells count="7">
    <mergeCell ref="B12:B16"/>
    <mergeCell ref="B4:B7"/>
    <mergeCell ref="B8:B11"/>
    <mergeCell ref="C1:O1"/>
    <mergeCell ref="D2:F2"/>
    <mergeCell ref="G2:J2"/>
    <mergeCell ref="K2:O2"/>
  </mergeCells>
  <conditionalFormatting sqref="D4:D16">
    <cfRule type="colorScale" priority="216">
      <colorScale>
        <cfvo type="min"/>
        <cfvo type="formula" val="$D$19/2"/>
        <cfvo type="formula" val="$D$19"/>
        <color rgb="FFFF0000"/>
        <color rgb="FFFFFF00"/>
        <color rgb="FF00B050"/>
      </colorScale>
    </cfRule>
  </conditionalFormatting>
  <conditionalFormatting sqref="E4:E16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8">
      <colorScale>
        <cfvo type="min"/>
        <cfvo type="formula" val="&quot;MAX($A$1:$C$10)/2&quot;"/>
        <cfvo type="max"/>
        <color rgb="FFF8696B"/>
        <color rgb="FFFFEB84"/>
        <color rgb="FF63BE7B"/>
      </colorScale>
    </cfRule>
    <cfRule type="colorScale" priority="217">
      <colorScale>
        <cfvo type="formula" val="$E$19"/>
        <cfvo type="num" val="0"/>
        <cfvo type="formula" val="$E$18"/>
        <color rgb="FFFF0000"/>
        <color rgb="FFFFFF00"/>
        <color rgb="FF00B050"/>
      </colorScale>
    </cfRule>
  </conditionalFormatting>
  <conditionalFormatting sqref="F4:F16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0">
      <colorScale>
        <cfvo type="num" val="0"/>
        <cfvo type="num" val="0.5"/>
        <cfvo type="formula" val="$F$19"/>
        <color rgb="FFFF0000"/>
        <color rgb="FFFFFF00"/>
        <color rgb="FF00B050"/>
      </colorScale>
    </cfRule>
  </conditionalFormatting>
  <conditionalFormatting sqref="G4:G16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2">
      <colorScale>
        <cfvo type="min"/>
        <cfvo type="formula" val="$G$19/2"/>
        <cfvo type="formula" val="$G$19"/>
        <color rgb="FFFF0000"/>
        <color rgb="FFFFFF00"/>
        <color rgb="FF00B050"/>
      </colorScale>
    </cfRule>
  </conditionalFormatting>
  <conditionalFormatting sqref="H4:H16">
    <cfRule type="colorScale" priority="224">
      <colorScale>
        <cfvo type="min"/>
        <cfvo type="formula" val="$H$19/2"/>
        <cfvo type="formula" val="$H$19"/>
        <color rgb="FFFF0000"/>
        <color rgb="FFFFFF00"/>
        <color rgb="FF00B050"/>
      </colorScale>
    </cfRule>
  </conditionalFormatting>
  <conditionalFormatting sqref="I4:I16">
    <cfRule type="colorScale" priority="225">
      <colorScale>
        <cfvo type="min"/>
        <cfvo type="formula" val="$I$19/2"/>
        <cfvo type="formula" val="$I$19"/>
        <color rgb="FFFF0000"/>
        <color rgb="FFFFFF00"/>
        <color rgb="FF00B050"/>
      </colorScale>
    </cfRule>
  </conditionalFormatting>
  <conditionalFormatting sqref="J4:J16">
    <cfRule type="colorScale" priority="226">
      <colorScale>
        <cfvo type="min"/>
        <cfvo type="formula" val="$J$19/2"/>
        <cfvo type="formula" val="$J$19"/>
        <color rgb="FFFF0000"/>
        <color rgb="FFFFFF00"/>
        <color rgb="FF00B050"/>
      </colorScale>
    </cfRule>
  </conditionalFormatting>
  <conditionalFormatting sqref="K6:L6">
    <cfRule type="colorScale" priority="172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2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177">
      <colorScale>
        <cfvo type="min"/>
        <cfvo type="formula" val="MAX(#REF!)/2"/>
        <cfvo type="max"/>
        <color rgb="FFF8696B"/>
        <color rgb="FFFFEB84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">
      <colorScale>
        <cfvo type="min"/>
        <cfvo type="formula" val="MAX(#REF!)/2"/>
        <cfvo type="max"/>
        <color rgb="FFF8696B"/>
        <color rgb="FFFFEB84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M4">
    <cfRule type="colorScale" priority="183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7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188">
      <colorScale>
        <cfvo type="min"/>
        <cfvo type="formula" val="MAX(#REF!)/2"/>
        <cfvo type="max"/>
        <color rgb="FFF8696B"/>
        <color rgb="FFFFEB84"/>
        <color rgb="FF63BE7B"/>
      </colorScale>
    </cfRule>
    <cfRule type="colorScale" priority="189">
      <colorScale>
        <cfvo type="min"/>
        <cfvo type="formula" val="MAX(#REF!)/2"/>
        <cfvo type="max"/>
        <color rgb="FFF8696B"/>
        <color rgb="FFFFEB84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3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K7:M16">
    <cfRule type="colorScale" priority="199">
      <colorScale>
        <cfvo type="min"/>
        <cfvo type="formula" val="MAX(#REF!)/2"/>
        <cfvo type="max"/>
        <color rgb="FFF8696B"/>
        <color rgb="FFFFEB84"/>
        <color rgb="FF63BE7B"/>
      </colorScale>
    </cfRule>
    <cfRule type="colorScale" priority="200">
      <colorScale>
        <cfvo type="min"/>
        <cfvo type="formula" val="MAX(#REF!)/2"/>
        <cfvo type="max"/>
        <color rgb="FFF8696B"/>
        <color rgb="FFFFEB84"/>
        <color rgb="FF63BE7B"/>
      </colorScale>
    </cfRule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4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194">
      <colorScale>
        <cfvo type="min"/>
        <cfvo type="formula" val="0.75"/>
        <cfvo type="max"/>
        <color rgb="FFF8696B"/>
        <color rgb="FF00B050"/>
        <color rgb="FFFFFF00"/>
      </colorScale>
    </cfRule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8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L5 M6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">
      <colorScale>
        <cfvo type="min"/>
        <cfvo type="formula" val="MAX($L$4:$L$16)/2"/>
        <cfvo type="max"/>
        <color rgb="FFF8696B"/>
        <color rgb="FFFFEB84"/>
        <color rgb="FF63BE7B"/>
      </colorScale>
    </cfRule>
  </conditionalFormatting>
  <conditionalFormatting sqref="L5">
    <cfRule type="colorScale" priority="87">
      <colorScale>
        <cfvo type="min"/>
        <cfvo type="formula" val="MAX($L$4:$L$16)/2"/>
        <cfvo type="max"/>
        <color rgb="FFF8696B"/>
        <color rgb="FFFFEB84"/>
        <color rgb="FF63BE7B"/>
      </colorScale>
    </cfRule>
  </conditionalFormatting>
  <conditionalFormatting sqref="M5">
    <cfRule type="colorScale" priority="210">
      <colorScale>
        <cfvo type="min"/>
        <cfvo type="formula" val="MAX(#REF!)/2"/>
        <cfvo type="max"/>
        <color rgb="FFF8696B"/>
        <color rgb="FFFFEB84"/>
        <color rgb="FF63BE7B"/>
      </colorScale>
    </cfRule>
    <cfRule type="colorScale" priority="211">
      <colorScale>
        <cfvo type="min"/>
        <cfvo type="formula" val="MAX(#REF!)/2"/>
        <cfvo type="max"/>
        <color rgb="FFF8696B"/>
        <color rgb="FFFFEB84"/>
        <color rgb="FF63BE7B"/>
      </colorScale>
    </cfRule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5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5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9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M6 K5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">
      <colorScale>
        <cfvo type="min"/>
        <cfvo type="formula" val="MAX($K$4:$K$16)/2"/>
        <cfvo type="max"/>
        <color rgb="FFF8696B"/>
        <color rgb="FFFFEB84"/>
        <color rgb="FF63BE7B"/>
      </colorScale>
    </cfRule>
  </conditionalFormatting>
  <conditionalFormatting sqref="N4:N16">
    <cfRule type="colorScale" priority="227">
      <colorScale>
        <cfvo type="min"/>
        <cfvo type="formula" val="$N$19/2"/>
        <cfvo type="formula" val="$N$19"/>
        <color rgb="FFFF0000"/>
        <color rgb="FFFFFF00"/>
        <color rgb="FF00B050"/>
      </colorScale>
    </cfRule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16">
    <cfRule type="colorScale" priority="229">
      <colorScale>
        <cfvo type="min"/>
        <cfvo type="formula" val="$O$19/2"/>
        <cfvo type="formula" val="$O$19"/>
        <color rgb="FFFF0000"/>
        <color rgb="FFFFFF00"/>
        <color rgb="FF00B050"/>
      </colorScale>
    </cfRule>
  </conditionalFormatting>
  <pageMargins left="0.7" right="0.7" top="0.75" bottom="0.75" header="0.3" footer="0.3"/>
  <pageSetup paperSize="8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Res, Cap, Product</vt:lpstr>
      <vt:lpstr>'Res, Cap, Product'!Print_Area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Lewis, Sabra (IITA)</cp:lastModifiedBy>
  <dcterms:created xsi:type="dcterms:W3CDTF">2026-04-08T01:43:34Z</dcterms:created>
  <dcterms:modified xsi:type="dcterms:W3CDTF">2026-04-08T07:36:51Z</dcterms:modified>
</cp:coreProperties>
</file>