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A6762A0A-9933-42BD-9A08-01DA242C003C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" l="1"/>
  <c r="E6" i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<sst xmlns="http://schemas.openxmlformats.org/spreadsheetml/2006/main" count="54" uniqueCount="54">
  <si>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</si>
  <si>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</si>
  <si>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</si>
  <si>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</si>
  <si>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</si>
  <si>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</si>
  <si>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</si>
  <si>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</si>
  <si>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</si>
  <si>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</si>
  <si>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</si>
  <si>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</si>
  <si>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</si>
  <si>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</si>
  <si>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</si>
  <si>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</si>
  <si>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</si>
  <si>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</si>
  <si>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</si>
  <si>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</si>
  <si>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</si>
  <si>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</si>
  <si>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</si>
  <si>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</si>
  <si>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</si>
  <si>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</si>
  <si>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</si>
  <si>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</si>
  <si>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</si>
  <si>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</si>
  <si>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</si>
  <si>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</si>
  <si>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</si>
  <si>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</si>
  <si>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</si>
  <si>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</si>
  <si>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</si>
  <si>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</si>
  <si>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</si>
  <si>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</si>
  <si>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</si>
  <si>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</si>
  <si>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</si>
  <si>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</si>
  <si>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</si>
  <si>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</si>
  <si>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</si>
  <si>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</si>
  <si>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</si>
  <si>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Full Time Equivalent (FTE)</t>
  </si>
  <si>
    <t>Notional Target</t>
  </si>
  <si>
    <t>Percentage of delivery partners trained who are female</t>
  </si>
  <si>
    <t>Pecentage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</si>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</sst>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7" fillId="0" borderId="1" xfId="1" applyNumberFormat="1" applyFont="1" applyFill="1" applyBorder="1" applyAlignment="1">
      <alignment horizontal="right" vertical="top"/>
    </xf>
    <xf numFmtId="165" fontId="0" fillId="0" borderId="0" xfId="1" applyNumberFormat="1" applyFont="1" applyAlignment="1">
      <alignment horizontal="right"/>
    </xf>
    <xf numFmtId="166" fontId="6" fillId="0" borderId="1" xfId="0" applyNumberFormat="1" applyFont="1" applyBorder="1" applyAlignment="1">
      <alignment horizontal="right" vertical="top"/>
    </xf>
    <xf numFmtId="166" fontId="0" fillId="0" borderId="0" xfId="0" applyNumberFormat="1" applyAlignment="1">
      <alignment vertical="top"/>
    </xf>
    <xf numFmtId="0" fontId="5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164" fontId="6" fillId="0" borderId="1" xfId="0" applyNumberFormat="1" applyFont="1" applyBorder="1"/>
    <xf numFmtId="9" fontId="6" fillId="0" borderId="1" xfId="2" applyFont="1" applyBorder="1" applyAlignment="1">
      <alignment horizontal="right" vertical="top"/>
    </xf>
    <xf numFmtId="167" fontId="6" fillId="0" borderId="1" xfId="2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9" fontId="6" fillId="0" borderId="1" xfId="0" applyNumberFormat="1" applyFont="1" applyBorder="1" applyAlignment="1">
      <alignment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5" fillId="4" borderId="1" xfId="2" applyFont="1" applyFill="1" applyBorder="1" applyAlignment="1">
      <alignment horizontal="left" vertical="top" wrapText="1"/>
    </xf>
    <xf numFmtId="9" fontId="3" fillId="4" borderId="1" xfId="0" applyNumberFormat="1" applyFont="1" applyFill="1" applyBorder="1" applyAlignment="1">
      <alignment horizontal="left" vertical="top" wrapText="1"/>
    </xf>
    <xf numFmtId="10" fontId="3" fillId="4" borderId="1" xfId="0" applyNumberFormat="1" applyFont="1" applyFill="1" applyBorder="1" applyAlignment="1">
      <alignment horizontal="left" vertical="top" wrapText="1"/>
    </xf>
    <xf numFmtId="0" fontId="7" fillId="3" borderId="2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/>
    </xf>
    <xf numFmtId="166" fontId="5" fillId="3" borderId="3" xfId="1" applyNumberFormat="1" applyFont="1" applyFill="1" applyBorder="1" applyAlignment="1">
      <alignment vertical="top" wrapText="1"/>
    </xf>
    <xf numFmtId="166" fontId="8" fillId="3" borderId="3" xfId="0" applyNumberFormat="1" applyFont="1" applyFill="1" applyBorder="1" applyAlignment="1">
      <alignment vertical="top"/>
    </xf>
    <xf numFmtId="165" fontId="7" fillId="3" borderId="3" xfId="1" applyNumberFormat="1" applyFont="1" applyFill="1" applyBorder="1" applyAlignment="1">
      <alignment horizontal="right" vertical="top"/>
    </xf>
    <xf numFmtId="0" fontId="8" fillId="3" borderId="3" xfId="0" applyFont="1" applyFill="1" applyBorder="1" applyAlignment="1">
      <alignment vertical="top"/>
    </xf>
    <xf numFmtId="0" fontId="7" fillId="3" borderId="3" xfId="0" applyFont="1" applyFill="1" applyBorder="1" applyAlignment="1">
      <alignment horizontal="center" vertical="top"/>
    </xf>
    <xf numFmtId="0" fontId="8" fillId="3" borderId="4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 wrapText="1"/>
    </xf>
    <xf numFmtId="0" fontId="5" fillId="4" borderId="6" xfId="0" applyFont="1" applyFill="1" applyBorder="1" applyAlignment="1">
      <alignment horizontal="left" vertical="top" wrapText="1"/>
    </xf>
    <xf numFmtId="166" fontId="6" fillId="0" borderId="6" xfId="1" applyNumberFormat="1" applyFont="1" applyBorder="1" applyAlignment="1">
      <alignment vertical="top"/>
    </xf>
    <xf numFmtId="0" fontId="6" fillId="0" borderId="6" xfId="0" applyFont="1" applyBorder="1"/>
    <xf numFmtId="165" fontId="7" fillId="0" borderId="6" xfId="1" applyNumberFormat="1" applyFont="1" applyFill="1" applyBorder="1" applyAlignment="1">
      <alignment horizontal="right" vertical="top"/>
    </xf>
    <xf numFmtId="0" fontId="6" fillId="0" borderId="7" xfId="0" applyFont="1" applyBorder="1"/>
    <xf numFmtId="0" fontId="6" fillId="0" borderId="9" xfId="0" applyFont="1" applyBorder="1"/>
    <xf numFmtId="0" fontId="5" fillId="0" borderId="11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left" vertical="top" wrapText="1"/>
    </xf>
    <xf numFmtId="2" fontId="6" fillId="0" borderId="11" xfId="2" applyNumberFormat="1" applyFont="1" applyBorder="1" applyAlignment="1">
      <alignment horizontal="right" vertical="top"/>
    </xf>
    <xf numFmtId="0" fontId="6" fillId="0" borderId="11" xfId="0" applyFont="1" applyBorder="1"/>
    <xf numFmtId="164" fontId="7" fillId="0" borderId="11" xfId="1" applyFont="1" applyFill="1" applyBorder="1" applyAlignment="1">
      <alignment horizontal="right" vertical="top"/>
    </xf>
    <xf numFmtId="0" fontId="6" fillId="0" borderId="12" xfId="0" applyFont="1" applyBorder="1"/>
    <xf numFmtId="0" fontId="3" fillId="0" borderId="11" xfId="0" applyFont="1" applyBorder="1" applyAlignment="1">
      <alignment horizontal="left" vertical="top" wrapText="1"/>
    </xf>
    <xf numFmtId="0" fontId="3" fillId="2" borderId="11" xfId="0" applyFont="1" applyFill="1" applyBorder="1" applyAlignment="1">
      <alignment horizontal="left" vertical="top" wrapText="1"/>
    </xf>
    <xf numFmtId="9" fontId="3" fillId="4" borderId="11" xfId="0" applyNumberFormat="1" applyFont="1" applyFill="1" applyBorder="1" applyAlignment="1">
      <alignment horizontal="left" vertical="top" wrapText="1"/>
    </xf>
    <xf numFmtId="9" fontId="6" fillId="0" borderId="11" xfId="2" applyFont="1" applyBorder="1" applyAlignment="1">
      <alignment horizontal="right" vertical="top"/>
    </xf>
    <xf numFmtId="165" fontId="7" fillId="0" borderId="11" xfId="1" applyNumberFormat="1" applyFont="1" applyFill="1" applyBorder="1" applyAlignment="1">
      <alignment horizontal="right" vertical="top"/>
    </xf>
    <xf numFmtId="166" fontId="6" fillId="0" borderId="11" xfId="1" applyNumberFormat="1" applyFont="1" applyBorder="1" applyAlignment="1">
      <alignment vertical="top"/>
    </xf>
    <xf numFmtId="0" fontId="3" fillId="4" borderId="11" xfId="0" applyFont="1" applyFill="1" applyBorder="1" applyAlignment="1">
      <alignment horizontal="left" vertical="top" wrapText="1"/>
    </xf>
    <xf numFmtId="9" fontId="5" fillId="4" borderId="6" xfId="2" applyFont="1" applyFill="1" applyBorder="1" applyAlignment="1">
      <alignment horizontal="left" vertical="top" wrapText="1"/>
    </xf>
    <xf numFmtId="9" fontId="6" fillId="0" borderId="6" xfId="2" applyFont="1" applyBorder="1" applyAlignment="1">
      <alignment horizontal="right" vertical="top"/>
    </xf>
    <xf numFmtId="166" fontId="6" fillId="0" borderId="6" xfId="0" applyNumberFormat="1" applyFont="1" applyBorder="1" applyAlignment="1">
      <alignment horizontal="right" vertical="top"/>
    </xf>
    <xf numFmtId="9" fontId="5" fillId="4" borderId="11" xfId="2" applyFont="1" applyFill="1" applyBorder="1" applyAlignment="1">
      <alignment horizontal="left" vertical="top" wrapText="1"/>
    </xf>
    <xf numFmtId="166" fontId="6" fillId="0" borderId="11" xfId="0" applyNumberFormat="1" applyFont="1" applyBorder="1" applyAlignment="1">
      <alignment horizontal="right" vertical="top"/>
    </xf>
    <xf numFmtId="1" fontId="4" fillId="3" borderId="3" xfId="1" applyNumberFormat="1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E11" sqref="E11"/>
    </sheetView>
  </sheetViews>
  <sheetFormatPr defaultRowHeight="14.4" x14ac:dyDescent="0.3"/>
  <cols>
    <col min="1" max="1" width="22" style="6" customWidth="1"/>
    <col min="2" max="2" width="27" style="5" customWidth="1"/>
    <col min="3" max="3" width="41.21875" style="5" customWidth="1"/>
    <col min="4" max="4" width="6.88671875" style="5" customWidth="1"/>
    <col min="5" max="5" width="6.77734375" style="21" customWidth="1"/>
    <col min="6" max="6" width="6.77734375" style="13" customWidth="1"/>
    <col min="7" max="7" width="6.77734375" style="11" customWidth="1"/>
    <col min="8" max="10" width="6.77734375" customWidth="1"/>
  </cols>
  <sheetData>
    <row r="1" spans="1:10" s="1" customFormat="1" ht="24.6" thickBot="1" x14ac:dyDescent="0.3">
      <c r="A1" s="27"/>
      <c r="B1" s="28" t="s">
        <v>20</v>
      </c>
      <c r="C1" s="28" t="s">
        <v>47</v>
      </c>
      <c r="D1" s="29" t="s">
        <v>50</v>
      </c>
      <c r="E1" s="65">
        <v>2025</v>
      </c>
      <c r="F1" s="65">
        <v>2026</v>
      </c>
      <c r="G1" s="30">
        <v>2027</v>
      </c>
      <c r="H1" s="30">
        <v>2028</v>
      </c>
      <c r="I1" s="30">
        <v>2029</v>
      </c>
      <c r="J1" s="31">
        <v>2030</v>
      </c>
    </row>
    <row r="2" spans="1:10" s="1" customFormat="1" ht="24.6" thickBot="1" x14ac:dyDescent="0.3">
      <c r="A2" s="32" t="s">
        <v>49</v>
      </c>
      <c r="B2" s="33"/>
      <c r="C2" s="28"/>
      <c r="D2" s="28"/>
      <c r="E2" s="34">
        <v>141</v>
      </c>
      <c r="F2" s="35"/>
      <c r="G2" s="36"/>
      <c r="H2" s="37"/>
      <c r="I2" s="38"/>
      <c r="J2" s="39"/>
    </row>
    <row r="3" spans="1:10" s="2" customFormat="1" ht="24" x14ac:dyDescent="0.25">
      <c r="A3" s="66" t="s">
        <v>0</v>
      </c>
      <c r="B3" s="40" t="s">
        <v>12</v>
      </c>
      <c r="C3" s="40" t="s">
        <v>1</v>
      </c>
      <c r="D3" s="41">
        <v>2</v>
      </c>
      <c r="E3" s="42">
        <f>217/133</f>
        <v>1.631578947368421</v>
      </c>
      <c r="F3" s="43"/>
      <c r="G3" s="44"/>
      <c r="H3" s="43"/>
      <c r="I3" s="43"/>
      <c r="J3" s="45"/>
    </row>
    <row r="4" spans="1:10" s="2" customFormat="1" ht="24" x14ac:dyDescent="0.25">
      <c r="A4" s="67"/>
      <c r="B4" s="3" t="s">
        <v>14</v>
      </c>
      <c r="C4" s="3" t="s">
        <v>11</v>
      </c>
      <c r="D4" s="14"/>
      <c r="E4" s="20" t="s">
        <v>48</v>
      </c>
      <c r="F4" s="9"/>
      <c r="G4" s="10"/>
      <c r="H4" s="9"/>
      <c r="I4" s="9"/>
      <c r="J4" s="46"/>
    </row>
    <row r="5" spans="1:10" s="2" customFormat="1" ht="24.6" thickBot="1" x14ac:dyDescent="0.3">
      <c r="A5" s="68"/>
      <c r="B5" s="47" t="s">
        <v>13</v>
      </c>
      <c r="C5" s="47" t="s">
        <v>16</v>
      </c>
      <c r="D5" s="48">
        <v>0.09</v>
      </c>
      <c r="E5" s="49">
        <f>6/133</f>
        <v>4.5112781954887216E-2</v>
      </c>
      <c r="F5" s="50"/>
      <c r="G5" s="51"/>
      <c r="H5" s="50"/>
      <c r="I5" s="50"/>
      <c r="J5" s="52"/>
    </row>
    <row r="6" spans="1:10" s="2" customFormat="1" ht="12" x14ac:dyDescent="0.25">
      <c r="A6" s="69" t="s">
        <v>2</v>
      </c>
      <c r="B6" s="72" t="s">
        <v>15</v>
      </c>
      <c r="C6" s="40" t="s">
        <v>43</v>
      </c>
      <c r="D6" s="41">
        <v>1.1000000000000001</v>
      </c>
      <c r="E6" s="42">
        <f>113/133</f>
        <v>0.84962406015037595</v>
      </c>
      <c r="F6" s="43"/>
      <c r="G6" s="44"/>
      <c r="H6" s="43"/>
      <c r="I6" s="43"/>
      <c r="J6" s="45"/>
    </row>
    <row r="7" spans="1:10" s="2" customFormat="1" ht="24" x14ac:dyDescent="0.25">
      <c r="A7" s="70"/>
      <c r="B7" s="73"/>
      <c r="C7" s="7" t="s">
        <v>44</v>
      </c>
      <c r="D7" s="23">
        <v>0.5</v>
      </c>
      <c r="E7" s="22">
        <v>0.59</v>
      </c>
      <c r="F7" s="9"/>
      <c r="G7" s="10"/>
      <c r="H7" s="9"/>
      <c r="I7" s="9"/>
      <c r="J7" s="46"/>
    </row>
    <row r="8" spans="1:10" s="2" customFormat="1" ht="12" x14ac:dyDescent="0.25">
      <c r="A8" s="70"/>
      <c r="B8" s="74" t="s">
        <v>17</v>
      </c>
      <c r="C8" s="4" t="s">
        <v>45</v>
      </c>
      <c r="D8" s="15">
        <v>0.77439999999999998</v>
      </c>
      <c r="E8" s="19">
        <v>0.7</v>
      </c>
      <c r="F8" s="9"/>
      <c r="G8" s="10"/>
      <c r="H8" s="9"/>
      <c r="I8" s="9"/>
      <c r="J8" s="46"/>
    </row>
    <row r="9" spans="1:10" s="2" customFormat="1" ht="24" x14ac:dyDescent="0.25">
      <c r="A9" s="70"/>
      <c r="B9" s="74"/>
      <c r="C9" s="8" t="s">
        <v>42</v>
      </c>
      <c r="D9" s="23">
        <v>0.4</v>
      </c>
      <c r="E9" s="17">
        <v>0.49</v>
      </c>
      <c r="F9" s="9"/>
      <c r="G9" s="10"/>
      <c r="H9" s="9"/>
      <c r="I9" s="9"/>
      <c r="J9" s="46"/>
    </row>
    <row r="10" spans="1:10" s="2" customFormat="1" ht="12" x14ac:dyDescent="0.25">
      <c r="A10" s="70"/>
      <c r="B10" s="74" t="s">
        <v>18</v>
      </c>
      <c r="C10" s="4" t="s">
        <v>21</v>
      </c>
      <c r="D10" s="15">
        <v>94.8</v>
      </c>
      <c r="E10" s="19">
        <v>89.4</v>
      </c>
      <c r="F10" s="9"/>
      <c r="G10" s="10"/>
      <c r="H10" s="9"/>
      <c r="I10" s="9"/>
      <c r="J10" s="46"/>
    </row>
    <row r="11" spans="1:10" s="2" customFormat="1" ht="12" x14ac:dyDescent="0.25">
      <c r="A11" s="70"/>
      <c r="B11" s="74"/>
      <c r="C11" s="8" t="s">
        <v>51</v>
      </c>
      <c r="D11" s="24">
        <v>0.46</v>
      </c>
      <c r="E11" s="17">
        <v>0.44</v>
      </c>
      <c r="F11" s="9"/>
      <c r="G11" s="10"/>
      <c r="H11" s="9"/>
      <c r="I11" s="9"/>
      <c r="J11" s="46"/>
    </row>
    <row r="12" spans="1:10" s="2" customFormat="1" ht="24" x14ac:dyDescent="0.25">
      <c r="A12" s="70"/>
      <c r="B12" s="74" t="s">
        <v>19</v>
      </c>
      <c r="C12" s="4" t="s">
        <v>46</v>
      </c>
      <c r="D12" s="15">
        <v>10.9</v>
      </c>
      <c r="E12" s="19">
        <f>1444/133</f>
        <v>10.857142857142858</v>
      </c>
      <c r="F12" s="9"/>
      <c r="G12" s="10"/>
      <c r="H12" s="9"/>
      <c r="I12" s="9"/>
      <c r="J12" s="46"/>
    </row>
    <row r="13" spans="1:10" s="2" customFormat="1" ht="24.6" thickBot="1" x14ac:dyDescent="0.3">
      <c r="A13" s="71"/>
      <c r="B13" s="75"/>
      <c r="C13" s="54" t="s">
        <v>52</v>
      </c>
      <c r="D13" s="55">
        <v>0.51</v>
      </c>
      <c r="E13" s="56">
        <v>0.34</v>
      </c>
      <c r="F13" s="50"/>
      <c r="G13" s="57"/>
      <c r="H13" s="50"/>
      <c r="I13" s="50"/>
      <c r="J13" s="52"/>
    </row>
    <row r="14" spans="1:10" s="2" customFormat="1" ht="12" x14ac:dyDescent="0.25">
      <c r="A14" s="66" t="s">
        <v>3</v>
      </c>
      <c r="B14" s="40" t="s">
        <v>27</v>
      </c>
      <c r="C14" s="40" t="s">
        <v>22</v>
      </c>
      <c r="D14" s="41">
        <v>0.3</v>
      </c>
      <c r="E14" s="42">
        <v>0.3</v>
      </c>
      <c r="F14" s="43"/>
      <c r="G14" s="44"/>
      <c r="H14" s="43"/>
      <c r="I14" s="43"/>
      <c r="J14" s="45"/>
    </row>
    <row r="15" spans="1:10" s="2" customFormat="1" ht="24" x14ac:dyDescent="0.25">
      <c r="A15" s="67"/>
      <c r="B15" s="3" t="s">
        <v>30</v>
      </c>
      <c r="C15" s="4" t="s">
        <v>53</v>
      </c>
      <c r="D15" s="26">
        <v>1.4999999999999999E-2</v>
      </c>
      <c r="E15" s="18">
        <v>1.2E-2</v>
      </c>
      <c r="F15" s="9"/>
      <c r="G15" s="10"/>
      <c r="H15" s="9"/>
      <c r="I15" s="9"/>
      <c r="J15" s="46"/>
    </row>
    <row r="16" spans="1:10" s="2" customFormat="1" ht="12" x14ac:dyDescent="0.25">
      <c r="A16" s="67"/>
      <c r="B16" s="3" t="s">
        <v>31</v>
      </c>
      <c r="C16" s="4" t="s">
        <v>23</v>
      </c>
      <c r="D16" s="25">
        <v>1</v>
      </c>
      <c r="E16" s="17">
        <v>1</v>
      </c>
      <c r="F16" s="9"/>
      <c r="G16" s="10"/>
      <c r="H16" s="9"/>
      <c r="I16" s="9"/>
      <c r="J16" s="46"/>
    </row>
    <row r="17" spans="1:10" s="2" customFormat="1" ht="24" x14ac:dyDescent="0.25">
      <c r="A17" s="67"/>
      <c r="B17" s="3" t="s">
        <v>32</v>
      </c>
      <c r="C17" s="3" t="s">
        <v>4</v>
      </c>
      <c r="D17" s="14">
        <v>0.38300000000000001</v>
      </c>
      <c r="E17" s="19">
        <v>0.38300000000000001</v>
      </c>
      <c r="F17" s="9"/>
      <c r="G17" s="10"/>
      <c r="H17" s="9"/>
      <c r="I17" s="9"/>
      <c r="J17" s="46"/>
    </row>
    <row r="18" spans="1:10" s="2" customFormat="1" ht="12.6" thickBot="1" x14ac:dyDescent="0.3">
      <c r="A18" s="68"/>
      <c r="B18" s="47" t="s">
        <v>33</v>
      </c>
      <c r="C18" s="47" t="s">
        <v>24</v>
      </c>
      <c r="D18" s="48">
        <v>0.21</v>
      </c>
      <c r="E18" s="58">
        <v>0.1729</v>
      </c>
      <c r="F18" s="50"/>
      <c r="G18" s="57"/>
      <c r="H18" s="50"/>
      <c r="I18" s="50"/>
      <c r="J18" s="52"/>
    </row>
    <row r="19" spans="1:10" s="2" customFormat="1" ht="24" x14ac:dyDescent="0.25">
      <c r="A19" s="66" t="s">
        <v>5</v>
      </c>
      <c r="B19" s="40" t="s">
        <v>34</v>
      </c>
      <c r="C19" s="40" t="s">
        <v>25</v>
      </c>
      <c r="D19" s="41">
        <v>1.052</v>
      </c>
      <c r="E19" s="42">
        <v>1.052</v>
      </c>
      <c r="F19" s="43"/>
      <c r="G19" s="44"/>
      <c r="H19" s="43"/>
      <c r="I19" s="43"/>
      <c r="J19" s="45"/>
    </row>
    <row r="20" spans="1:10" s="2" customFormat="1" ht="14.55" customHeight="1" x14ac:dyDescent="0.25">
      <c r="A20" s="67"/>
      <c r="B20" s="3" t="s">
        <v>35</v>
      </c>
      <c r="C20" s="3" t="s">
        <v>6</v>
      </c>
      <c r="D20" s="14">
        <v>0.28499999999999998</v>
      </c>
      <c r="E20" s="19">
        <v>0.28499999999999998</v>
      </c>
      <c r="F20" s="9"/>
      <c r="G20" s="10"/>
      <c r="H20" s="9"/>
      <c r="I20" s="9"/>
      <c r="J20" s="46"/>
    </row>
    <row r="21" spans="1:10" s="2" customFormat="1" ht="12" x14ac:dyDescent="0.25">
      <c r="A21" s="67"/>
      <c r="B21" s="3" t="s">
        <v>36</v>
      </c>
      <c r="C21" s="3" t="s">
        <v>26</v>
      </c>
      <c r="D21" s="14">
        <v>0.08</v>
      </c>
      <c r="E21" s="19">
        <v>6.0150375939849621E-2</v>
      </c>
      <c r="F21" s="9"/>
      <c r="G21" s="10"/>
      <c r="H21" s="16"/>
      <c r="I21" s="9"/>
      <c r="J21" s="46"/>
    </row>
    <row r="22" spans="1:10" s="2" customFormat="1" ht="12" x14ac:dyDescent="0.25">
      <c r="A22" s="67"/>
      <c r="B22" s="3" t="s">
        <v>37</v>
      </c>
      <c r="C22" s="3" t="s">
        <v>28</v>
      </c>
      <c r="D22" s="14">
        <v>0.23</v>
      </c>
      <c r="E22" s="19">
        <v>0.13533834586466165</v>
      </c>
      <c r="F22" s="9"/>
      <c r="G22" s="10"/>
      <c r="H22" s="9"/>
      <c r="I22" s="9"/>
      <c r="J22" s="46"/>
    </row>
    <row r="23" spans="1:10" s="2" customFormat="1" ht="12.6" thickBot="1" x14ac:dyDescent="0.3">
      <c r="A23" s="68"/>
      <c r="B23" s="47" t="s">
        <v>38</v>
      </c>
      <c r="C23" s="53" t="s">
        <v>29</v>
      </c>
      <c r="D23" s="59">
        <v>0.22550000000000001</v>
      </c>
      <c r="E23" s="58">
        <v>0.22556390977443608</v>
      </c>
      <c r="F23" s="50"/>
      <c r="G23" s="57"/>
      <c r="H23" s="50"/>
      <c r="I23" s="50"/>
      <c r="J23" s="52"/>
    </row>
    <row r="24" spans="1:10" s="2" customFormat="1" ht="24" x14ac:dyDescent="0.25">
      <c r="A24" s="66" t="s">
        <v>7</v>
      </c>
      <c r="B24" s="40" t="s">
        <v>39</v>
      </c>
      <c r="C24" s="40" t="s">
        <v>8</v>
      </c>
      <c r="D24" s="60">
        <v>0.42</v>
      </c>
      <c r="E24" s="61">
        <v>0.42</v>
      </c>
      <c r="F24" s="62"/>
      <c r="G24" s="44"/>
      <c r="H24" s="43"/>
      <c r="I24" s="43"/>
      <c r="J24" s="45"/>
    </row>
    <row r="25" spans="1:10" s="2" customFormat="1" ht="24" x14ac:dyDescent="0.25">
      <c r="A25" s="67"/>
      <c r="B25" s="3" t="s">
        <v>40</v>
      </c>
      <c r="C25" s="3" t="s">
        <v>9</v>
      </c>
      <c r="D25" s="24">
        <v>0.36</v>
      </c>
      <c r="E25" s="17">
        <v>0.36</v>
      </c>
      <c r="F25" s="12"/>
      <c r="G25" s="10"/>
      <c r="H25" s="9"/>
      <c r="I25" s="9"/>
      <c r="J25" s="46"/>
    </row>
    <row r="26" spans="1:10" s="2" customFormat="1" ht="24.6" thickBot="1" x14ac:dyDescent="0.3">
      <c r="A26" s="68"/>
      <c r="B26" s="47" t="s">
        <v>41</v>
      </c>
      <c r="C26" s="47" t="s">
        <v>10</v>
      </c>
      <c r="D26" s="63">
        <v>0.13</v>
      </c>
      <c r="E26" s="56">
        <v>0.11</v>
      </c>
      <c r="F26" s="64"/>
      <c r="G26" s="57"/>
      <c r="H26" s="50"/>
      <c r="I26" s="50"/>
      <c r="J26" s="52"/>
    </row>
  </sheetData>
  <mergeCells count="9">
    <mergeCell ref="A24:A26"/>
    <mergeCell ref="A3:A5"/>
    <mergeCell ref="A6:A13"/>
    <mergeCell ref="A14:A18"/>
    <mergeCell ref="A19:A23"/>
    <mergeCell ref="B6:B7"/>
    <mergeCell ref="B8:B9"/>
    <mergeCell ref="B10:B11"/>
    <mergeCell ref="B12:B13"/>
  </mergeCells>
  <conditionalFormatting sqref="E3">
    <cfRule type="colorScale" priority="31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4">
    <cfRule type="colorScale" priority="11">
      <colorScale>
        <cfvo type="min"/>
        <cfvo type="formula" val="$D$4/2"/>
        <cfvo type="formula" val="$D$4"/>
        <color rgb="FFFF0000"/>
        <color rgb="FFFFFF00"/>
        <color rgb="FF00B050"/>
      </colorScale>
    </cfRule>
  </conditionalFormatting>
  <conditionalFormatting sqref="E5">
    <cfRule type="colorScale" priority="12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30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9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17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8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16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7">
      <colorScale>
        <cfvo type="min"/>
        <cfvo type="formula" val="$D$11"/>
        <color rgb="FF92D050"/>
        <color rgb="FF00B050"/>
      </colorScale>
    </cfRule>
  </conditionalFormatting>
  <conditionalFormatting sqref="E12">
    <cfRule type="colorScale" priority="15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6">
      <colorScale>
        <cfvo type="formula" val="$D$13/2"/>
        <cfvo type="formula" val="$D$13"/>
        <color rgb="FFFFFF00"/>
        <color rgb="FF00B050"/>
      </colorScale>
    </cfRule>
  </conditionalFormatting>
  <conditionalFormatting sqref="E14">
    <cfRule type="colorScale" priority="14">
      <colorScale>
        <cfvo type="num" val="0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:E20">
    <cfRule type="colorScale" priority="13">
      <colorScale>
        <cfvo type="num" val="0"/>
        <cfvo type="formula" val="$D$18/2"/>
        <cfvo type="formula" val="$D$18"/>
        <color rgb="FFFF0000"/>
        <color rgb="FFFFFF00"/>
        <color rgb="FF00B050"/>
      </colorScale>
    </cfRule>
  </conditionalFormatting>
  <conditionalFormatting sqref="E21">
    <cfRule type="colorScale" priority="20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9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8">
      <colorScale>
        <cfvo type="num" val="0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2026-05-01T07:57:03Z</dcterms:modified>
</cp:coreProperties>
</file>