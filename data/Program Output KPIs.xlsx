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"/>
    </mc:Choice>
  </mc:AlternateContent>
  <xr:revisionPtr revIDLastSave="53" documentId="8_{13FACF68-87A9-442A-8EEC-FB2E7358B28E}" xr6:coauthVersionLast="47" xr6:coauthVersionMax="47" xr10:uidLastSave="{ACD021D2-0AC7-4431-8F3A-6AAFC4BD0DDC}"/>
  <bookViews>
    <workbookView xWindow="-110" yWindow="-110" windowWidth="19420" windowHeight="1030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</calcChain>
</file>

<file path=xl/sharedStrings.xml><?xml version="1.0" encoding="utf-8"?>
<sst xmlns="http://schemas.openxmlformats.org/spreadsheetml/2006/main" count="50" uniqueCount="50">
  <si>
    <t>KPI Nr</t>
  </si>
  <si>
    <t>KPI Metrics</t>
  </si>
  <si>
    <t>Annual Target</t>
  </si>
  <si>
    <t>2025 Actual value</t>
  </si>
  <si>
    <t>% Female (where applicable)</t>
  </si>
  <si>
    <t>Research Outputs</t>
  </si>
  <si>
    <t>PR1</t>
  </si>
  <si>
    <t>Number of papers published in Thomson-indexed journals</t>
  </si>
  <si>
    <t>PR2</t>
  </si>
  <si>
    <t>Number of papers published in Thomson-indexed journals per IRS</t>
  </si>
  <si>
    <t>PR3</t>
  </si>
  <si>
    <t>Number of Thomson-indexed publications with an impact factor greater than 10.</t>
  </si>
  <si>
    <t>Training and Capacity Building</t>
  </si>
  <si>
    <t>PR4</t>
  </si>
  <si>
    <t>Number of MSc and PhD students enrolled at IITA</t>
  </si>
  <si>
    <t>PR5</t>
  </si>
  <si>
    <t>Number of MSc and PhD thesis defended and accepted</t>
  </si>
  <si>
    <t>PR6</t>
  </si>
  <si>
    <t>Number of extensionists, value chain actors etc.   trained in IITA innovations</t>
  </si>
  <si>
    <t>PR7</t>
  </si>
  <si>
    <t>Number of people (NARS) attending courses delivered by scientists and specialists</t>
  </si>
  <si>
    <t>Product Development</t>
  </si>
  <si>
    <t>PR8</t>
  </si>
  <si>
    <t>Variety Release</t>
  </si>
  <si>
    <t>PR9</t>
  </si>
  <si>
    <t>Annual rate of genetic gain, by crop (%)</t>
  </si>
  <si>
    <t>PR10</t>
  </si>
  <si>
    <t>Crop Trust Performance Compliance Rate</t>
  </si>
  <si>
    <t>PR11</t>
  </si>
  <si>
    <t>Number of IITA innovations incorporated into the TAAT e-Catalogue</t>
  </si>
  <si>
    <t>PR12</t>
  </si>
  <si>
    <t>Number of IITA innovations taken on by scaling partners (e.g., IFIs, private sector)</t>
  </si>
  <si>
    <t>Recognition and Reputation</t>
  </si>
  <si>
    <t>PR13</t>
  </si>
  <si>
    <t>Number of active collaborations with scaling partners</t>
  </si>
  <si>
    <t>PR14</t>
  </si>
  <si>
    <t>Number of collaborations with ARIs</t>
  </si>
  <si>
    <t>PR15</t>
  </si>
  <si>
    <t>Number of awards granted to IITA staff/project teams</t>
  </si>
  <si>
    <t>PR16</t>
  </si>
  <si>
    <t>Number of invitations to IITA staff to give seminars, as guest speakers etc.</t>
  </si>
  <si>
    <t>PR17</t>
  </si>
  <si>
    <t>Number of direct engagements  with senior policymakers to provide strategic advice, influence reforms, or shape national strategies.</t>
  </si>
  <si>
    <t>Society Impact and Inclusion</t>
  </si>
  <si>
    <t>PR18</t>
  </si>
  <si>
    <t>Percentage of approved proposals with gender/youth/social inclusion components</t>
  </si>
  <si>
    <t>PR19</t>
  </si>
  <si>
    <t xml:space="preserve">Percentage of approved proposals with inclusion of adaptation/ mitigation activities </t>
  </si>
  <si>
    <t>PR20</t>
  </si>
  <si>
    <t>Percentage of approved proposals with inclusion of nutrition and health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</si>
</sst>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5" formatCode="0.0%"/>
    <numFmt numFmtId="169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0D0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9" fontId="3" fillId="0" borderId="8" xfId="2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9" fontId="3" fillId="0" borderId="10" xfId="2" applyFont="1" applyFill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9" fontId="3" fillId="0" borderId="14" xfId="2" applyFont="1" applyFill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69" fontId="5" fillId="0" borderId="2" xfId="1" applyNumberFormat="1" applyFont="1" applyBorder="1" applyAlignment="1">
      <alignment horizontal="left" vertical="top" wrapText="1"/>
    </xf>
    <xf numFmtId="1" fontId="4" fillId="3" borderId="3" xfId="0" applyNumberFormat="1" applyFont="1" applyFill="1" applyBorder="1" applyAlignment="1">
      <alignment horizontal="left" vertical="top" wrapText="1"/>
    </xf>
    <xf numFmtId="1" fontId="4" fillId="3" borderId="4" xfId="1" applyNumberFormat="1" applyFont="1" applyFill="1" applyBorder="1" applyAlignment="1">
      <alignment horizontal="left" vertical="top" wrapText="1"/>
    </xf>
    <xf numFmtId="1" fontId="4" fillId="4" borderId="3" xfId="2" applyNumberFormat="1" applyFont="1" applyFill="1" applyBorder="1" applyAlignment="1">
      <alignment horizontal="left" vertical="top" wrapText="1"/>
    </xf>
    <xf numFmtId="1" fontId="5" fillId="0" borderId="6" xfId="0" applyNumberFormat="1" applyFont="1" applyBorder="1" applyAlignment="1">
      <alignment horizontal="left" vertical="top" wrapText="1"/>
    </xf>
    <xf numFmtId="1" fontId="5" fillId="0" borderId="7" xfId="1" applyNumberFormat="1" applyFont="1" applyBorder="1" applyAlignment="1">
      <alignment horizontal="left" vertical="top" wrapText="1"/>
    </xf>
    <xf numFmtId="1" fontId="5" fillId="0" borderId="8" xfId="2" applyNumberFormat="1" applyFont="1" applyFill="1" applyBorder="1" applyAlignment="1">
      <alignment horizontal="left" vertical="top" wrapText="1"/>
    </xf>
    <xf numFmtId="1" fontId="5" fillId="0" borderId="1" xfId="0" applyNumberFormat="1" applyFont="1" applyBorder="1" applyAlignment="1">
      <alignment horizontal="left" vertical="top" wrapText="1"/>
    </xf>
    <xf numFmtId="1" fontId="5" fillId="0" borderId="10" xfId="2" applyNumberFormat="1" applyFont="1" applyFill="1" applyBorder="1" applyAlignment="1">
      <alignment horizontal="left" vertical="top" wrapText="1"/>
    </xf>
    <xf numFmtId="1" fontId="5" fillId="0" borderId="12" xfId="0" applyNumberFormat="1" applyFont="1" applyBorder="1" applyAlignment="1">
      <alignment horizontal="left" vertical="top" wrapText="1"/>
    </xf>
    <xf numFmtId="1" fontId="5" fillId="0" borderId="13" xfId="1" applyNumberFormat="1" applyFont="1" applyFill="1" applyBorder="1" applyAlignment="1">
      <alignment horizontal="left" vertical="top" wrapText="1"/>
    </xf>
    <xf numFmtId="1" fontId="5" fillId="0" borderId="14" xfId="2" applyNumberFormat="1" applyFont="1" applyFill="1" applyBorder="1" applyAlignment="1">
      <alignment horizontal="left" vertical="top" wrapText="1"/>
    </xf>
    <xf numFmtId="1" fontId="3" fillId="0" borderId="6" xfId="0" applyNumberFormat="1" applyFont="1" applyBorder="1" applyAlignment="1">
      <alignment horizontal="left" vertical="top" wrapText="1"/>
    </xf>
    <xf numFmtId="1" fontId="3" fillId="0" borderId="7" xfId="1" applyNumberFormat="1" applyFont="1" applyFill="1" applyBorder="1" applyAlignment="1">
      <alignment horizontal="left" vertical="top" wrapText="1"/>
    </xf>
    <xf numFmtId="1" fontId="3" fillId="0" borderId="1" xfId="0" applyNumberFormat="1" applyFont="1" applyBorder="1" applyAlignment="1">
      <alignment horizontal="left" vertical="top" wrapText="1"/>
    </xf>
    <xf numFmtId="1" fontId="3" fillId="0" borderId="2" xfId="1" applyNumberFormat="1" applyFont="1" applyFill="1" applyBorder="1" applyAlignment="1">
      <alignment horizontal="left" vertical="top" wrapText="1"/>
    </xf>
    <xf numFmtId="1" fontId="3" fillId="0" borderId="1" xfId="1" applyNumberFormat="1" applyFont="1" applyFill="1" applyBorder="1" applyAlignment="1">
      <alignment horizontal="left" vertical="top" wrapText="1"/>
    </xf>
    <xf numFmtId="1" fontId="3" fillId="0" borderId="12" xfId="0" applyNumberFormat="1" applyFont="1" applyBorder="1" applyAlignment="1">
      <alignment horizontal="left" vertical="top" wrapText="1"/>
    </xf>
    <xf numFmtId="1" fontId="3" fillId="0" borderId="13" xfId="1" applyNumberFormat="1" applyFont="1" applyFill="1" applyBorder="1" applyAlignment="1">
      <alignment horizontal="left" vertical="top" wrapText="1"/>
    </xf>
    <xf numFmtId="1" fontId="5" fillId="0" borderId="7" xfId="0" applyNumberFormat="1" applyFont="1" applyBorder="1" applyAlignment="1">
      <alignment horizontal="left" vertical="top" wrapText="1"/>
    </xf>
    <xf numFmtId="1" fontId="5" fillId="0" borderId="7" xfId="1" applyNumberFormat="1" applyFont="1" applyFill="1" applyBorder="1" applyAlignment="1">
      <alignment horizontal="left" vertical="top" wrapText="1"/>
    </xf>
    <xf numFmtId="1" fontId="5" fillId="0" borderId="2" xfId="1" applyNumberFormat="1" applyFont="1" applyFill="1" applyBorder="1" applyAlignment="1">
      <alignment horizontal="left" vertical="top" wrapText="1"/>
    </xf>
    <xf numFmtId="1" fontId="5" fillId="0" borderId="10" xfId="1" applyNumberFormat="1" applyFont="1" applyFill="1" applyBorder="1" applyAlignment="1">
      <alignment horizontal="left" vertical="top" wrapText="1"/>
    </xf>
    <xf numFmtId="1" fontId="3" fillId="0" borderId="0" xfId="0" applyNumberFormat="1" applyFont="1" applyAlignment="1">
      <alignment horizontal="left" vertical="top"/>
    </xf>
    <xf numFmtId="1" fontId="3" fillId="0" borderId="0" xfId="1" applyNumberFormat="1" applyFont="1" applyAlignment="1">
      <alignment horizontal="left" vertical="top"/>
    </xf>
    <xf numFmtId="1" fontId="3" fillId="0" borderId="0" xfId="2" applyNumberFormat="1" applyFont="1" applyAlignment="1">
      <alignment horizontal="left" vertical="top"/>
    </xf>
    <xf numFmtId="9" fontId="3" fillId="0" borderId="1" xfId="2" applyFont="1" applyBorder="1" applyAlignment="1">
      <alignment horizontal="left" vertical="top" wrapText="1"/>
    </xf>
    <xf numFmtId="165" fontId="3" fillId="0" borderId="1" xfId="2" applyNumberFormat="1" applyFont="1" applyBorder="1" applyAlignment="1">
      <alignment horizontal="left" vertical="top" wrapText="1"/>
    </xf>
    <xf numFmtId="9" fontId="5" fillId="0" borderId="2" xfId="2" applyFont="1" applyFill="1" applyBorder="1" applyAlignment="1">
      <alignment horizontal="left" vertical="top" wrapText="1"/>
    </xf>
    <xf numFmtId="165" fontId="5" fillId="0" borderId="2" xfId="2" applyNumberFormat="1" applyFont="1" applyFill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9" fontId="5" fillId="0" borderId="6" xfId="2" applyFont="1" applyBorder="1" applyAlignment="1">
      <alignment horizontal="left" vertical="top" wrapText="1"/>
    </xf>
    <xf numFmtId="9" fontId="5" fillId="0" borderId="7" xfId="2" applyFont="1" applyFill="1" applyBorder="1" applyAlignment="1">
      <alignment horizontal="left" vertical="top" wrapText="1"/>
    </xf>
    <xf numFmtId="9" fontId="5" fillId="0" borderId="1" xfId="2" applyFont="1" applyBorder="1" applyAlignment="1">
      <alignment horizontal="left" vertical="top" wrapText="1"/>
    </xf>
    <xf numFmtId="9" fontId="5" fillId="0" borderId="12" xfId="2" applyFont="1" applyBorder="1" applyAlignment="1">
      <alignment horizontal="left" vertical="top" wrapText="1"/>
    </xf>
    <xf numFmtId="9" fontId="5" fillId="0" borderId="13" xfId="2" applyFont="1" applyFill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F21"/>
  <sheetViews>
    <sheetView tabSelected="1" zoomScale="75" zoomScaleNormal="75" workbookViewId="0">
      <pane xSplit="3" ySplit="1" topLeftCell="D9" activePane="bottomRight" state="frozen"/>
      <selection pane="topRight" activeCell="E1" sqref="E1"/>
      <selection pane="bottomLeft" activeCell="A3" sqref="A3"/>
      <selection pane="bottomRight" activeCell="J19" sqref="J19"/>
    </sheetView>
  </sheetViews>
  <sheetFormatPr defaultRowHeight="14.5" x14ac:dyDescent="0.35"/>
  <cols>
    <col min="1" max="1" width="10.90625" style="1" customWidth="1"/>
    <col min="2" max="2" width="6.54296875" style="19" customWidth="1"/>
    <col min="3" max="3" width="35.1796875" style="19" customWidth="1"/>
    <col min="4" max="4" width="9.453125" style="43" bestFit="1" customWidth="1"/>
    <col min="5" max="5" width="9.6328125" style="44" customWidth="1"/>
    <col min="6" max="6" width="8.54296875" style="45" bestFit="1" customWidth="1"/>
  </cols>
  <sheetData>
    <row r="1" spans="1:6" s="1" customFormat="1" ht="36.5" thickBot="1" x14ac:dyDescent="0.35">
      <c r="B1" s="52" t="s">
        <v>0</v>
      </c>
      <c r="C1" s="9" t="s">
        <v>1</v>
      </c>
      <c r="D1" s="21" t="s">
        <v>2</v>
      </c>
      <c r="E1" s="22" t="s">
        <v>3</v>
      </c>
      <c r="F1" s="23" t="s">
        <v>4</v>
      </c>
    </row>
    <row r="2" spans="1:6" s="2" customFormat="1" ht="28.5" customHeight="1" x14ac:dyDescent="0.25">
      <c r="A2" s="3" t="s">
        <v>5</v>
      </c>
      <c r="B2" s="10" t="s">
        <v>6</v>
      </c>
      <c r="C2" s="10" t="s">
        <v>7</v>
      </c>
      <c r="D2" s="24">
        <v>272</v>
      </c>
      <c r="E2" s="25">
        <v>217</v>
      </c>
      <c r="F2" s="26"/>
    </row>
    <row r="3" spans="1:6" s="2" customFormat="1" ht="28.5" customHeight="1" x14ac:dyDescent="0.25">
      <c r="A3" s="4"/>
      <c r="B3" s="11" t="s">
        <v>8</v>
      </c>
      <c r="C3" s="11" t="s">
        <v>9</v>
      </c>
      <c r="D3" s="27">
        <v>2</v>
      </c>
      <c r="E3" s="20">
        <v>1.3</v>
      </c>
      <c r="F3" s="28"/>
    </row>
    <row r="4" spans="1:6" s="2" customFormat="1" ht="28.5" customHeight="1" thickBot="1" x14ac:dyDescent="0.3">
      <c r="A4" s="5"/>
      <c r="B4" s="12" t="s">
        <v>10</v>
      </c>
      <c r="C4" s="12" t="s">
        <v>11</v>
      </c>
      <c r="D4" s="29">
        <v>1</v>
      </c>
      <c r="E4" s="30">
        <v>6</v>
      </c>
      <c r="F4" s="31"/>
    </row>
    <row r="5" spans="1:6" s="2" customFormat="1" ht="28.5" customHeight="1" x14ac:dyDescent="0.25">
      <c r="A5" s="6" t="s">
        <v>12</v>
      </c>
      <c r="B5" s="13" t="s">
        <v>13</v>
      </c>
      <c r="C5" s="50" t="s">
        <v>14</v>
      </c>
      <c r="D5" s="32">
        <v>150</v>
      </c>
      <c r="E5" s="33">
        <v>113</v>
      </c>
      <c r="F5" s="14">
        <f>67/113</f>
        <v>0.59292035398230092</v>
      </c>
    </row>
    <row r="6" spans="1:6" s="2" customFormat="1" ht="28.5" customHeight="1" x14ac:dyDescent="0.25">
      <c r="A6" s="7"/>
      <c r="B6" s="15" t="s">
        <v>15</v>
      </c>
      <c r="C6" s="51" t="s">
        <v>16</v>
      </c>
      <c r="D6" s="34">
        <v>60</v>
      </c>
      <c r="E6" s="35">
        <v>103</v>
      </c>
      <c r="F6" s="16">
        <f>50/103</f>
        <v>0.4854368932038835</v>
      </c>
    </row>
    <row r="7" spans="1:6" s="2" customFormat="1" ht="28.5" customHeight="1" x14ac:dyDescent="0.25">
      <c r="A7" s="7"/>
      <c r="B7" s="15" t="s">
        <v>17</v>
      </c>
      <c r="C7" s="15" t="s">
        <v>18</v>
      </c>
      <c r="D7" s="36">
        <v>12000</v>
      </c>
      <c r="E7" s="35">
        <v>12612</v>
      </c>
      <c r="F7" s="16">
        <v>0.43909999999999999</v>
      </c>
    </row>
    <row r="8" spans="1:6" s="2" customFormat="1" ht="36" customHeight="1" thickBot="1" x14ac:dyDescent="0.3">
      <c r="A8" s="8"/>
      <c r="B8" s="17" t="s">
        <v>19</v>
      </c>
      <c r="C8" s="17" t="s">
        <v>20</v>
      </c>
      <c r="D8" s="37">
        <v>150</v>
      </c>
      <c r="E8" s="38">
        <v>1444</v>
      </c>
      <c r="F8" s="18">
        <v>0.33650000000000002</v>
      </c>
    </row>
    <row r="9" spans="1:6" s="2" customFormat="1" ht="28.5" customHeight="1" x14ac:dyDescent="0.25">
      <c r="A9" s="3" t="s">
        <v>21</v>
      </c>
      <c r="B9" s="53" t="s">
        <v>22</v>
      </c>
      <c r="C9" s="10" t="s">
        <v>23</v>
      </c>
      <c r="D9" s="39">
        <v>6</v>
      </c>
      <c r="E9" s="40">
        <v>15</v>
      </c>
      <c r="F9" s="26"/>
    </row>
    <row r="10" spans="1:6" s="2" customFormat="1" ht="28.5" customHeight="1" x14ac:dyDescent="0.25">
      <c r="A10" s="4"/>
      <c r="B10" s="11" t="s">
        <v>24</v>
      </c>
      <c r="C10" s="15" t="s">
        <v>25</v>
      </c>
      <c r="D10" s="47">
        <v>1.4999999999999999E-2</v>
      </c>
      <c r="E10" s="49">
        <v>1.4999999999999999E-2</v>
      </c>
      <c r="F10" s="28"/>
    </row>
    <row r="11" spans="1:6" s="2" customFormat="1" ht="28.5" customHeight="1" x14ac:dyDescent="0.25">
      <c r="A11" s="4"/>
      <c r="B11" s="11" t="s">
        <v>26</v>
      </c>
      <c r="C11" s="15" t="s">
        <v>27</v>
      </c>
      <c r="D11" s="46">
        <v>1</v>
      </c>
      <c r="E11" s="48">
        <v>1</v>
      </c>
      <c r="F11" s="28"/>
    </row>
    <row r="12" spans="1:6" s="2" customFormat="1" ht="28.5" customHeight="1" x14ac:dyDescent="0.25">
      <c r="A12" s="4"/>
      <c r="B12" s="11" t="s">
        <v>28</v>
      </c>
      <c r="C12" s="11" t="s">
        <v>29</v>
      </c>
      <c r="D12" s="27">
        <v>20</v>
      </c>
      <c r="E12" s="41">
        <v>51</v>
      </c>
      <c r="F12" s="28"/>
    </row>
    <row r="13" spans="1:6" s="2" customFormat="1" ht="28.5" customHeight="1" thickBot="1" x14ac:dyDescent="0.3">
      <c r="A13" s="5"/>
      <c r="B13" s="12" t="s">
        <v>30</v>
      </c>
      <c r="C13" s="12" t="s">
        <v>31</v>
      </c>
      <c r="D13" s="29">
        <v>30</v>
      </c>
      <c r="E13" s="30">
        <v>23</v>
      </c>
      <c r="F13" s="31"/>
    </row>
    <row r="14" spans="1:6" s="2" customFormat="1" ht="36.5" customHeight="1" x14ac:dyDescent="0.25">
      <c r="A14" s="3" t="s">
        <v>32</v>
      </c>
      <c r="B14" s="11" t="s">
        <v>33</v>
      </c>
      <c r="C14" s="11" t="s">
        <v>36</v>
      </c>
      <c r="D14" s="27">
        <v>30</v>
      </c>
      <c r="E14" s="41">
        <v>140</v>
      </c>
      <c r="F14" s="42"/>
    </row>
    <row r="15" spans="1:6" s="2" customFormat="1" ht="36" customHeight="1" x14ac:dyDescent="0.25">
      <c r="A15" s="4"/>
      <c r="B15" s="11" t="s">
        <v>35</v>
      </c>
      <c r="C15" s="11" t="s">
        <v>34</v>
      </c>
      <c r="D15" s="27">
        <v>25</v>
      </c>
      <c r="E15" s="41">
        <v>38</v>
      </c>
      <c r="F15" s="28"/>
    </row>
    <row r="16" spans="1:6" s="2" customFormat="1" ht="24" x14ac:dyDescent="0.25">
      <c r="A16" s="4"/>
      <c r="B16" s="11" t="s">
        <v>37</v>
      </c>
      <c r="C16" s="11" t="s">
        <v>38</v>
      </c>
      <c r="D16" s="27">
        <v>30</v>
      </c>
      <c r="E16" s="41">
        <v>8</v>
      </c>
      <c r="F16" s="28"/>
    </row>
    <row r="17" spans="1:6" s="2" customFormat="1" ht="24" x14ac:dyDescent="0.25">
      <c r="A17" s="4"/>
      <c r="B17" s="11" t="s">
        <v>39</v>
      </c>
      <c r="C17" s="11" t="s">
        <v>40</v>
      </c>
      <c r="D17" s="27">
        <v>30</v>
      </c>
      <c r="E17" s="41">
        <v>18</v>
      </c>
      <c r="F17" s="28"/>
    </row>
    <row r="18" spans="1:6" s="2" customFormat="1" ht="36.5" thickBot="1" x14ac:dyDescent="0.3">
      <c r="A18" s="5"/>
      <c r="B18" s="12" t="s">
        <v>41</v>
      </c>
      <c r="C18" s="17" t="s">
        <v>42</v>
      </c>
      <c r="D18" s="29">
        <v>15</v>
      </c>
      <c r="E18" s="30">
        <v>30</v>
      </c>
      <c r="F18" s="31"/>
    </row>
    <row r="19" spans="1:6" s="2" customFormat="1" ht="30.65" customHeight="1" x14ac:dyDescent="0.25">
      <c r="A19" s="3" t="s">
        <v>43</v>
      </c>
      <c r="B19" s="10" t="s">
        <v>44</v>
      </c>
      <c r="C19" s="10" t="s">
        <v>45</v>
      </c>
      <c r="D19" s="54">
        <v>0.25</v>
      </c>
      <c r="E19" s="55">
        <v>0.41666666666666669</v>
      </c>
      <c r="F19" s="26"/>
    </row>
    <row r="20" spans="1:6" s="2" customFormat="1" ht="24" x14ac:dyDescent="0.25">
      <c r="A20" s="4"/>
      <c r="B20" s="11" t="s">
        <v>46</v>
      </c>
      <c r="C20" s="11" t="s">
        <v>47</v>
      </c>
      <c r="D20" s="56">
        <v>0.25</v>
      </c>
      <c r="E20" s="48">
        <v>0.3611111111111111</v>
      </c>
      <c r="F20" s="28"/>
    </row>
    <row r="21" spans="1:6" s="2" customFormat="1" ht="24.5" thickBot="1" x14ac:dyDescent="0.3">
      <c r="A21" s="5"/>
      <c r="B21" s="12" t="s">
        <v>48</v>
      </c>
      <c r="C21" s="12" t="s">
        <v>49</v>
      </c>
      <c r="D21" s="57">
        <v>0.25</v>
      </c>
      <c r="E21" s="58">
        <v>0.1111111111111111</v>
      </c>
      <c r="F21" s="31"/>
    </row>
  </sheetData>
  <mergeCells count="5">
    <mergeCell ref="A19:A21"/>
    <mergeCell ref="A2:A4"/>
    <mergeCell ref="A5:A8"/>
    <mergeCell ref="A9:A13"/>
    <mergeCell ref="A14:A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2026-03-30T07:48:34Z</dcterms:created>
  <dcterms:modified xsi:type="dcterms:W3CDTF">2026-04-10T06:52:07Z</dcterms:modified>
</cp:coreProperties>
</file>