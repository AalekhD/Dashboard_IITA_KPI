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195" yWindow="1395" windowWidth="27000" windowHeight="15735" tabRatio="600" firstSheet="0" activeTab="0" autoFilterDateGrouping="1"/>
  </bookViews>
  <sheets>
    <sheet name="Res, Cap, Product" sheetId="1" state="visible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Product'!$B$1:$P$17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 * #,##0.00_ ;_ * \-#,##0.00_ ;_ * &quot;-&quot;??_ ;_ @_ "/>
  </numFmts>
  <fonts count="1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rgb="FF0070C0"/>
      <sz val="18"/>
    </font>
    <font>
      <name val="Calibri"/>
      <family val="2"/>
      <color theme="1"/>
      <sz val="9"/>
    </font>
    <font>
      <name val="Calibri"/>
      <family val="2"/>
      <color theme="1"/>
      <sz val="14"/>
    </font>
    <font>
      <name val="Calibri"/>
      <family val="2"/>
      <b val="1"/>
      <color rgb="FF00B0F0"/>
      <sz val="14"/>
    </font>
    <font>
      <name val="Calibri"/>
      <family val="2"/>
      <b val="1"/>
      <color rgb="FF0070C0"/>
      <sz val="14"/>
    </font>
    <font>
      <name val="Aptos Narrow"/>
      <family val="2"/>
      <color theme="1"/>
      <sz val="14"/>
      <scheme val="minor"/>
    </font>
    <font>
      <name val="Calibri"/>
      <family val="2"/>
      <color rgb="FF000000"/>
      <sz val="9"/>
    </font>
    <font>
      <name val="Aptos Narrow"/>
      <family val="2"/>
      <color theme="1"/>
      <sz val="9"/>
      <scheme val="minor"/>
    </font>
    <font>
      <name val="Calibri"/>
      <family val="2"/>
      <b val="1"/>
      <color rgb="FF0070C0"/>
      <sz val="10"/>
    </font>
    <font>
      <name val="Aptos Narrow"/>
      <family val="2"/>
      <b val="1"/>
      <color rgb="FF0070C0"/>
      <sz val="11"/>
      <scheme val="minor"/>
    </font>
    <font>
      <name val="Calibri"/>
      <family val="2"/>
      <b val="1"/>
      <color rgb="FF0070C0"/>
      <sz val="9"/>
    </font>
    <font>
      <name val="Calibri"/>
      <family val="2"/>
      <b val="1"/>
      <color theme="1"/>
      <sz val="9"/>
    </font>
    <font>
      <name val="Calibri"/>
      <family val="2"/>
      <color rgb="FFFF0000"/>
      <sz val="9"/>
    </font>
  </fonts>
  <fills count="3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</fills>
  <borders count="32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thin">
        <color rgb="FF00B050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  <border>
      <left/>
      <right/>
      <top style="medium">
        <color theme="1"/>
      </top>
      <bottom/>
      <diagonal/>
    </border>
    <border>
      <left/>
      <right style="thin">
        <color indexed="64"/>
      </right>
      <top style="medium">
        <color theme="1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78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164" fontId="2" fillId="0" borderId="0" pivotButton="0" quotePrefix="0" xfId="0"/>
    <xf numFmtId="164" fontId="0" fillId="0" borderId="0" pivotButton="0" quotePrefix="0" xfId="0"/>
    <xf numFmtId="0" fontId="5" fillId="0" borderId="0" applyAlignment="1" pivotButton="0" quotePrefix="0" xfId="0">
      <alignment horizontal="center" vertical="top"/>
    </xf>
    <xf numFmtId="0" fontId="6" fillId="2" borderId="2" applyAlignment="1" pivotButton="0" quotePrefix="0" xfId="0">
      <alignment horizontal="center" vertical="top"/>
    </xf>
    <xf numFmtId="164" fontId="5" fillId="0" borderId="0" applyAlignment="1" pivotButton="0" quotePrefix="0" xfId="0">
      <alignment vertical="top"/>
    </xf>
    <xf numFmtId="164" fontId="8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4" fillId="0" borderId="0" applyAlignment="1" pivotButton="0" quotePrefix="0" xfId="0">
      <alignment horizontal="center" readingOrder="1"/>
    </xf>
    <xf numFmtId="0" fontId="4" fillId="0" borderId="6" applyAlignment="1" pivotButton="0" quotePrefix="0" xfId="0">
      <alignment horizontal="left" vertical="top" readingOrder="1"/>
    </xf>
    <xf numFmtId="0" fontId="9" fillId="0" borderId="7" applyAlignment="1" pivotButton="0" quotePrefix="0" xfId="0">
      <alignment horizontal="center" textRotation="90" wrapText="1" readingOrder="1"/>
    </xf>
    <xf numFmtId="0" fontId="9" fillId="0" borderId="8" applyAlignment="1" pivotButton="0" quotePrefix="0" xfId="0">
      <alignment horizontal="center" textRotation="90" wrapText="1" readingOrder="1"/>
    </xf>
    <xf numFmtId="0" fontId="9" fillId="0" borderId="9" applyAlignment="1" pivotButton="0" quotePrefix="0" xfId="0">
      <alignment horizontal="center" textRotation="90" wrapText="1" readingOrder="1"/>
    </xf>
    <xf numFmtId="0" fontId="4" fillId="0" borderId="8" applyAlignment="1" pivotButton="0" quotePrefix="0" xfId="0">
      <alignment horizontal="center" textRotation="90" wrapText="1" readingOrder="1"/>
    </xf>
    <xf numFmtId="164" fontId="4" fillId="0" borderId="0" pivotButton="0" quotePrefix="0" xfId="0"/>
    <xf numFmtId="164" fontId="10" fillId="0" borderId="0" pivotButton="0" quotePrefix="0" xfId="0"/>
    <xf numFmtId="0" fontId="10" fillId="0" borderId="0" pivotButton="0" quotePrefix="0" xfId="0"/>
    <xf numFmtId="0" fontId="9" fillId="0" borderId="2" applyAlignment="1" pivotButton="0" quotePrefix="0" xfId="0">
      <alignment horizontal="left" vertical="center" wrapText="1"/>
    </xf>
    <xf numFmtId="2" fontId="4" fillId="0" borderId="3" applyAlignment="1" pivotButton="0" quotePrefix="0" xfId="0">
      <alignment horizontal="center"/>
    </xf>
    <xf numFmtId="2" fontId="4" fillId="0" borderId="4" applyAlignment="1" pivotButton="0" quotePrefix="0" xfId="1">
      <alignment horizontal="center"/>
    </xf>
    <xf numFmtId="2" fontId="4" fillId="0" borderId="5" applyAlignment="1" pivotButton="0" quotePrefix="0" xfId="2">
      <alignment horizontal="center"/>
    </xf>
    <xf numFmtId="2" fontId="4" fillId="0" borderId="4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9" fillId="0" borderId="12" applyAlignment="1" pivotButton="0" quotePrefix="0" xfId="0">
      <alignment horizontal="left" vertical="center" wrapText="1"/>
    </xf>
    <xf numFmtId="2" fontId="4" fillId="0" borderId="13" applyAlignment="1" pivotButton="0" quotePrefix="0" xfId="0">
      <alignment horizontal="center"/>
    </xf>
    <xf numFmtId="2" fontId="4" fillId="0" borderId="14" applyAlignment="1" pivotButton="0" quotePrefix="0" xfId="1">
      <alignment horizontal="center"/>
    </xf>
    <xf numFmtId="2" fontId="4" fillId="0" borderId="15" applyAlignment="1" pivotButton="0" quotePrefix="0" xfId="2">
      <alignment horizontal="center"/>
    </xf>
    <xf numFmtId="2" fontId="4" fillId="0" borderId="14" applyAlignment="1" pivotButton="0" quotePrefix="0" xfId="0">
      <alignment horizontal="center"/>
    </xf>
    <xf numFmtId="2" fontId="4" fillId="0" borderId="15" applyAlignment="1" pivotButton="0" quotePrefix="0" xfId="0">
      <alignment horizontal="center"/>
    </xf>
    <xf numFmtId="0" fontId="9" fillId="0" borderId="16" applyAlignment="1" pivotButton="0" quotePrefix="0" xfId="0">
      <alignment horizontal="left" vertical="center" wrapText="1"/>
    </xf>
    <xf numFmtId="2" fontId="4" fillId="0" borderId="17" applyAlignment="1" pivotButton="0" quotePrefix="0" xfId="0">
      <alignment horizontal="center"/>
    </xf>
    <xf numFmtId="2" fontId="4" fillId="0" borderId="18" applyAlignment="1" pivotButton="0" quotePrefix="0" xfId="1">
      <alignment horizontal="center"/>
    </xf>
    <xf numFmtId="2" fontId="4" fillId="0" borderId="19" applyAlignment="1" pivotButton="0" quotePrefix="0" xfId="2">
      <alignment horizontal="center"/>
    </xf>
    <xf numFmtId="2" fontId="4" fillId="0" borderId="18" applyAlignment="1" pivotButton="0" quotePrefix="0" xfId="0">
      <alignment horizontal="center"/>
    </xf>
    <xf numFmtId="2" fontId="4" fillId="0" borderId="19" applyAlignment="1" pivotButton="0" quotePrefix="0" xfId="0">
      <alignment horizontal="center"/>
    </xf>
    <xf numFmtId="0" fontId="9" fillId="0" borderId="20" applyAlignment="1" pivotButton="0" quotePrefix="0" xfId="0">
      <alignment horizontal="left" vertical="center" wrapText="1"/>
    </xf>
    <xf numFmtId="2" fontId="4" fillId="2" borderId="21" applyAlignment="1" pivotButton="0" quotePrefix="0" xfId="0">
      <alignment horizontal="center"/>
    </xf>
    <xf numFmtId="2" fontId="4" fillId="2" borderId="22" applyAlignment="1" pivotButton="0" quotePrefix="0" xfId="1">
      <alignment horizontal="center"/>
    </xf>
    <xf numFmtId="2" fontId="4" fillId="2" borderId="23" applyAlignment="1" pivotButton="0" quotePrefix="0" xfId="2">
      <alignment horizontal="center"/>
    </xf>
    <xf numFmtId="2" fontId="4" fillId="2" borderId="22" applyAlignment="1" pivotButton="0" quotePrefix="0" xfId="0">
      <alignment horizontal="center"/>
    </xf>
    <xf numFmtId="2" fontId="4" fillId="0" borderId="22" applyAlignment="1" pivotButton="0" quotePrefix="0" xfId="0">
      <alignment horizontal="center"/>
    </xf>
    <xf numFmtId="2" fontId="4" fillId="0" borderId="23" applyAlignment="1" pivotButton="0" quotePrefix="0" xfId="0">
      <alignment horizontal="center"/>
    </xf>
    <xf numFmtId="2" fontId="4" fillId="0" borderId="21" applyAlignment="1" pivotButton="0" quotePrefix="0" xfId="0">
      <alignment horizontal="center"/>
    </xf>
    <xf numFmtId="2" fontId="4" fillId="2" borderId="23" applyAlignment="1" pivotButton="0" quotePrefix="0" xfId="0">
      <alignment horizontal="center"/>
    </xf>
    <xf numFmtId="2" fontId="4" fillId="2" borderId="13" applyAlignment="1" pivotButton="0" quotePrefix="0" xfId="0">
      <alignment horizontal="center"/>
    </xf>
    <xf numFmtId="2" fontId="4" fillId="2" borderId="14" applyAlignment="1" pivotButton="0" quotePrefix="0" xfId="1">
      <alignment horizontal="center"/>
    </xf>
    <xf numFmtId="2" fontId="4" fillId="2" borderId="15" applyAlignment="1" pivotButton="0" quotePrefix="0" xfId="2">
      <alignment horizontal="center"/>
    </xf>
    <xf numFmtId="2" fontId="4" fillId="2" borderId="14" applyAlignment="1" pivotButton="0" quotePrefix="0" xfId="0">
      <alignment horizontal="center"/>
    </xf>
    <xf numFmtId="2" fontId="4" fillId="2" borderId="15" applyAlignment="1" pivotButton="0" quotePrefix="0" xfId="0">
      <alignment horizontal="center"/>
    </xf>
    <xf numFmtId="2" fontId="4" fillId="2" borderId="17" applyAlignment="1" pivotButton="0" quotePrefix="0" xfId="0">
      <alignment horizontal="center"/>
    </xf>
    <xf numFmtId="2" fontId="4" fillId="2" borderId="18" applyAlignment="1" pivotButton="0" quotePrefix="0" xfId="1">
      <alignment horizontal="center"/>
    </xf>
    <xf numFmtId="2" fontId="4" fillId="2" borderId="19" applyAlignment="1" pivotButton="0" quotePrefix="0" xfId="2">
      <alignment horizontal="center"/>
    </xf>
    <xf numFmtId="2" fontId="4" fillId="2" borderId="18" applyAlignment="1" pivotButton="0" quotePrefix="0" xfId="0">
      <alignment horizontal="center"/>
    </xf>
    <xf numFmtId="2" fontId="4" fillId="2" borderId="19" applyAlignment="1" pivotButton="0" quotePrefix="0" xfId="0">
      <alignment horizont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164" fontId="12" fillId="0" borderId="0" pivotButton="0" quotePrefix="0" xfId="0"/>
    <xf numFmtId="0" fontId="13" fillId="0" borderId="0" applyAlignment="1" pivotButton="0" quotePrefix="0" xfId="0">
      <alignment horizontal="left"/>
    </xf>
    <xf numFmtId="165" fontId="13" fillId="0" borderId="0" applyAlignment="1" pivotButton="0" quotePrefix="0" xfId="1">
      <alignment horizontal="center"/>
    </xf>
    <xf numFmtId="165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5" fillId="0" borderId="0" applyAlignment="1" pivotButton="0" quotePrefix="0" xfId="0">
      <alignment horizontal="center"/>
    </xf>
    <xf numFmtId="0" fontId="7" fillId="2" borderId="3" applyAlignment="1" pivotButton="0" quotePrefix="0" xfId="0">
      <alignment horizontal="center" vertical="top"/>
    </xf>
    <xf numFmtId="0" fontId="0" fillId="0" borderId="28" pivotButton="0" quotePrefix="0" xfId="0"/>
    <xf numFmtId="0" fontId="0" fillId="0" borderId="29" pivotButton="0" quotePrefix="0" xfId="0"/>
    <xf numFmtId="0" fontId="11" fillId="2" borderId="11" applyAlignment="1" pivotButton="0" quotePrefix="0" xfId="0">
      <alignment horizontal="center" vertical="center" textRotation="90"/>
    </xf>
    <xf numFmtId="0" fontId="0" fillId="0" borderId="10" pivotButton="0" quotePrefix="0" xfId="0"/>
    <xf numFmtId="0" fontId="0" fillId="0" borderId="25" pivotButton="0" quotePrefix="0" xfId="0"/>
    <xf numFmtId="0" fontId="7" fillId="2" borderId="3" applyAlignment="1" pivotButton="0" quotePrefix="0" xfId="0">
      <alignment horizontal="center" vertical="top" wrapText="1"/>
    </xf>
    <xf numFmtId="0" fontId="11" fillId="2" borderId="24" applyAlignment="1" pivotButton="0" quotePrefix="0" xfId="0">
      <alignment horizontal="center" vertical="center" textRotation="90"/>
    </xf>
    <xf numFmtId="0" fontId="0" fillId="0" borderId="24" pivotButton="0" quotePrefix="0" xfId="0"/>
    <xf numFmtId="0" fontId="3" fillId="2" borderId="1" applyAlignment="1" pivotButton="0" quotePrefix="0" xfId="0">
      <alignment horizontal="center"/>
    </xf>
    <xf numFmtId="0" fontId="0" fillId="0" borderId="26" pivotButton="0" quotePrefix="0" xfId="0"/>
    <xf numFmtId="0" fontId="0" fillId="0" borderId="27" pivotButton="0" quotePrefix="0" xfId="0"/>
    <xf numFmtId="165" fontId="13" fillId="0" borderId="0" applyAlignment="1" pivotButton="0" quotePrefix="0" xfId="1">
      <alignment horizontal="center"/>
    </xf>
    <xf numFmtId="165" fontId="13" fillId="0" borderId="0" applyAlignment="1" pivotButton="0" quotePrefix="0" xfId="0">
      <alignment horizontal="center"/>
    </xf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V21"/>
  <sheetViews>
    <sheetView tabSelected="1" zoomScaleNormal="100" zoomScaleSheetLayoutView="75" workbookViewId="0">
      <pane ySplit="3" topLeftCell="A9" activePane="bottomLeft" state="frozen"/>
      <selection activeCell="D3" sqref="D3:E3"/>
      <selection pane="bottomLeft" activeCell="I3" sqref="I3"/>
    </sheetView>
  </sheetViews>
  <sheetFormatPr baseColWidth="8" defaultRowHeight="14.4"/>
  <cols>
    <col width="3.21875" customWidth="1" style="1" min="2" max="2"/>
    <col width="24.77734375" bestFit="1" customWidth="1" style="1" min="3" max="3"/>
    <col width="6.21875" customWidth="1" style="1" min="4" max="8"/>
    <col width="8.21875" customWidth="1" style="3" min="9" max="9"/>
    <col width="8.6640625" customWidth="1" style="3" min="10" max="10"/>
    <col width="6.21875" customWidth="1" style="3" min="11" max="11"/>
    <col width="7.77734375" customWidth="1" style="3" min="12" max="12"/>
    <col width="6.21875" customWidth="1" style="3" min="13" max="13"/>
    <col width="7.77734375" customWidth="1" style="3" min="14" max="14"/>
    <col width="6.21875" customWidth="1" style="3" min="15" max="15"/>
    <col width="5.44140625" customWidth="1" style="3" min="16" max="16"/>
    <col width="6.21875" customWidth="1" style="3" min="17" max="17"/>
    <col width="8.21875" customWidth="1" style="3" min="18" max="22"/>
  </cols>
  <sheetData>
    <row r="1" ht="24" customHeight="1" thickBot="1">
      <c r="C1" s="73" t="inlineStr">
        <is>
          <t>KPI by FTE</t>
        </is>
      </c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5" t="n"/>
      <c r="P1" s="2" t="n"/>
      <c r="Q1" s="2" t="n"/>
    </row>
    <row r="2" ht="18" customFormat="1" customHeight="1" s="8">
      <c r="B2" s="4" t="n"/>
      <c r="C2" s="5" t="n"/>
      <c r="D2" s="64" t="inlineStr">
        <is>
          <t>Research Outputs</t>
        </is>
      </c>
      <c r="E2" s="65" t="n"/>
      <c r="F2" s="66" t="n"/>
      <c r="G2" s="70" t="inlineStr">
        <is>
          <t>Training and Capacity Building</t>
        </is>
      </c>
      <c r="H2" s="65" t="n"/>
      <c r="I2" s="65" t="n"/>
      <c r="J2" s="66" t="n"/>
      <c r="K2" s="70" t="inlineStr">
        <is>
          <t>Product Development</t>
        </is>
      </c>
      <c r="L2" s="65" t="n"/>
      <c r="M2" s="65" t="n"/>
      <c r="N2" s="65" t="n"/>
      <c r="O2" s="66" t="n"/>
      <c r="P2" s="6" t="n"/>
      <c r="Q2" s="6" t="n"/>
      <c r="R2" s="7" t="n"/>
      <c r="S2" s="7" t="n"/>
      <c r="T2" s="7" t="n"/>
      <c r="U2" s="7" t="n"/>
      <c r="V2" s="7" t="n"/>
    </row>
    <row r="3" ht="143.55" customFormat="1" customHeight="1" s="17" thickBot="1">
      <c r="B3" s="9" t="n"/>
      <c r="C3" s="10" t="n"/>
      <c r="D3" s="11" t="inlineStr">
        <is>
          <t>Thomson indexed publications</t>
        </is>
      </c>
      <c r="E3" s="12" t="inlineStr">
        <is>
          <t>Publications per IRS</t>
        </is>
      </c>
      <c r="F3" s="13" t="inlineStr">
        <is>
          <t>High impact publications</t>
        </is>
      </c>
      <c r="G3" s="11" t="inlineStr">
        <is>
          <t>PhD and MsC  students enrolled</t>
        </is>
      </c>
      <c r="H3" s="12" t="inlineStr">
        <is>
          <t>PhD and MsC  theses completed</t>
        </is>
      </c>
      <c r="I3" s="12" t="inlineStr">
        <is>
          <t>Stakeholders trained on innovations</t>
        </is>
      </c>
      <c r="J3" s="13" t="inlineStr">
        <is>
          <t>Training to NARES by IITA Scientists</t>
        </is>
      </c>
      <c r="K3" s="11" t="inlineStr">
        <is>
          <t>Varieties released</t>
        </is>
      </c>
      <c r="L3" s="14" t="inlineStr">
        <is>
          <t>Genetic gain rate</t>
        </is>
      </c>
      <c r="M3" s="14" t="inlineStr">
        <is>
          <t>Crop Trust compliance rate</t>
        </is>
      </c>
      <c r="N3" s="12" t="inlineStr">
        <is>
          <t>Innovations in e-Catalogue</t>
        </is>
      </c>
      <c r="O3" s="13" t="inlineStr">
        <is>
          <t>Innovations taken on by scaling partners</t>
        </is>
      </c>
      <c r="P3" s="15" t="n"/>
      <c r="Q3" s="15" t="n"/>
      <c r="R3" s="16" t="n"/>
      <c r="S3" s="16" t="n"/>
      <c r="T3" s="16" t="n"/>
      <c r="U3" s="16" t="n"/>
      <c r="V3" s="16" t="n"/>
    </row>
    <row r="4" ht="15.45" customHeight="1">
      <c r="B4" s="67" t="inlineStr">
        <is>
          <t>GI</t>
        </is>
      </c>
      <c r="C4" s="18" t="inlineStr">
        <is>
          <t>Biotech</t>
        </is>
      </c>
      <c r="D4" s="19" t="n">
        <v>3.142857142857143</v>
      </c>
      <c r="E4" s="20" t="n">
        <v>0.4479591836734694</v>
      </c>
      <c r="F4" s="21" t="n">
        <v>0.1428571428571428</v>
      </c>
      <c r="G4" s="19" t="n">
        <v>0.1428571428571428</v>
      </c>
      <c r="H4" s="22" t="n">
        <v>0.1428571428571428</v>
      </c>
      <c r="I4" s="22" t="n">
        <v>9.714285714285714</v>
      </c>
      <c r="J4" s="23" t="n">
        <v>26.28571428571428</v>
      </c>
      <c r="K4" s="19" t="inlineStr">
        <is>
          <t>N/A</t>
        </is>
      </c>
      <c r="L4" s="22" t="inlineStr">
        <is>
          <t>N/A</t>
        </is>
      </c>
      <c r="M4" s="22" t="inlineStr">
        <is>
          <t>N/A</t>
        </is>
      </c>
      <c r="N4" s="22" t="n">
        <v>0.1428571428571428</v>
      </c>
      <c r="O4" s="23" t="n">
        <v>0</v>
      </c>
      <c r="P4" s="2" t="n"/>
    </row>
    <row r="5" ht="15.6" customHeight="1">
      <c r="B5" s="68" t="n"/>
      <c r="C5" s="24" t="inlineStr">
        <is>
          <t>Breeding</t>
        </is>
      </c>
      <c r="D5" s="25" t="n">
        <v>2.239130434782609</v>
      </c>
      <c r="E5" s="26" t="n">
        <v>0.09725897920604916</v>
      </c>
      <c r="F5" s="27" t="n">
        <v>0</v>
      </c>
      <c r="G5" s="25" t="n">
        <v>1.043478260869565</v>
      </c>
      <c r="H5" s="28" t="n">
        <v>1.217391304347826</v>
      </c>
      <c r="I5" s="28" t="n">
        <v>4.695652173913044</v>
      </c>
      <c r="J5" s="29" t="n">
        <v>9.304347826086957</v>
      </c>
      <c r="K5" s="25">
        <f>'[1]PR 8'!$G$4</f>
        <v/>
      </c>
      <c r="L5" s="28">
        <f>'[1]PR 9'!$G$4</f>
        <v/>
      </c>
      <c r="M5" s="28" t="inlineStr">
        <is>
          <t>N/A</t>
        </is>
      </c>
      <c r="N5" s="28" t="n">
        <v>0.3478260869565217</v>
      </c>
      <c r="O5" s="29" t="n">
        <v>0.2173913043478261</v>
      </c>
      <c r="P5" s="2" t="n"/>
    </row>
    <row r="6" ht="15.6" customHeight="1">
      <c r="B6" s="68" t="n"/>
      <c r="C6" s="24" t="inlineStr">
        <is>
          <t>Genebanks</t>
        </is>
      </c>
      <c r="D6" s="25" t="n">
        <v>1.25</v>
      </c>
      <c r="E6" s="26" t="n">
        <v>0.3125</v>
      </c>
      <c r="F6" s="27" t="n">
        <v>0</v>
      </c>
      <c r="G6" s="25" t="n">
        <v>6.5</v>
      </c>
      <c r="H6" s="28" t="n">
        <v>4.75</v>
      </c>
      <c r="I6" s="28" t="n">
        <v>1.25</v>
      </c>
      <c r="J6" s="29" t="n">
        <v>28.25</v>
      </c>
      <c r="K6" s="25" t="inlineStr">
        <is>
          <t>N/A</t>
        </is>
      </c>
      <c r="L6" s="28" t="inlineStr">
        <is>
          <t>N/A</t>
        </is>
      </c>
      <c r="M6" s="28">
        <f>'[1]PR 10'!$G$5</f>
        <v/>
      </c>
      <c r="N6" s="28" t="n">
        <v>0</v>
      </c>
      <c r="O6" s="29" t="n">
        <v>0</v>
      </c>
      <c r="P6" s="2" t="n"/>
    </row>
    <row r="7" ht="15.6" customHeight="1" thickBot="1">
      <c r="B7" s="69" t="n"/>
      <c r="C7" s="30" t="inlineStr">
        <is>
          <t>Seed System</t>
        </is>
      </c>
      <c r="D7" s="31" t="n">
        <v>1.026666666666667</v>
      </c>
      <c r="E7" s="32" t="n">
        <v>0.06844444444444445</v>
      </c>
      <c r="F7" s="33" t="n">
        <v>0</v>
      </c>
      <c r="G7" s="31" t="n">
        <v>0.3333333333333333</v>
      </c>
      <c r="H7" s="34" t="n">
        <v>0.4666666666666667</v>
      </c>
      <c r="I7" s="34" t="n">
        <v>149.8</v>
      </c>
      <c r="J7" s="35" t="n">
        <v>20.6</v>
      </c>
      <c r="K7" s="31" t="inlineStr">
        <is>
          <t>N/A</t>
        </is>
      </c>
      <c r="L7" s="34" t="inlineStr">
        <is>
          <t>N/A</t>
        </is>
      </c>
      <c r="M7" s="34" t="inlineStr">
        <is>
          <t>N/A</t>
        </is>
      </c>
      <c r="N7" s="34" t="n">
        <v>1.133333333333333</v>
      </c>
      <c r="O7" s="35" t="n">
        <v>0.1333333333333333</v>
      </c>
      <c r="P7" s="2" t="n"/>
    </row>
    <row r="8" ht="15.6" customHeight="1">
      <c r="B8" s="67" t="inlineStr">
        <is>
          <t>RAFS</t>
        </is>
      </c>
      <c r="C8" s="18" t="inlineStr">
        <is>
          <t>Plant Health</t>
        </is>
      </c>
      <c r="D8" s="19" t="n">
        <v>3.454166666666667</v>
      </c>
      <c r="E8" s="20" t="n">
        <v>0.2878472222222223</v>
      </c>
      <c r="F8" s="21" t="n">
        <v>0.08333333333333333</v>
      </c>
      <c r="G8" s="19" t="n">
        <v>0.75</v>
      </c>
      <c r="H8" s="22" t="n">
        <v>0.75</v>
      </c>
      <c r="I8" s="22" t="n">
        <v>8.5</v>
      </c>
      <c r="J8" s="23" t="n">
        <v>0.8333333333333334</v>
      </c>
      <c r="K8" s="19" t="inlineStr">
        <is>
          <t>N/A</t>
        </is>
      </c>
      <c r="L8" s="22" t="inlineStr">
        <is>
          <t>N/A</t>
        </is>
      </c>
      <c r="M8" s="22" t="inlineStr">
        <is>
          <t>N/A</t>
        </is>
      </c>
      <c r="N8" s="22" t="n">
        <v>0.5</v>
      </c>
      <c r="O8" s="23" t="n">
        <v>0.1666666666666667</v>
      </c>
      <c r="P8" s="2" t="n"/>
    </row>
    <row r="9" ht="15.6" customHeight="1">
      <c r="B9" s="68" t="n"/>
      <c r="C9" s="24" t="inlineStr">
        <is>
          <t>Farming Systems Agronomy</t>
        </is>
      </c>
      <c r="D9" s="25" t="n">
        <v>1.0435</v>
      </c>
      <c r="E9" s="26" t="n">
        <v>0.05217500000000001</v>
      </c>
      <c r="F9" s="27" t="n">
        <v>0.0415</v>
      </c>
      <c r="G9" s="25" t="n">
        <v>1.1</v>
      </c>
      <c r="H9" s="28" t="n">
        <v>0.7</v>
      </c>
      <c r="I9" s="28" t="n">
        <v>159.25</v>
      </c>
      <c r="J9" s="29" t="n">
        <v>11.65</v>
      </c>
      <c r="K9" s="25" t="inlineStr">
        <is>
          <t>N/A</t>
        </is>
      </c>
      <c r="L9" s="28" t="inlineStr">
        <is>
          <t>N/A</t>
        </is>
      </c>
      <c r="M9" s="28" t="inlineStr">
        <is>
          <t>N/A</t>
        </is>
      </c>
      <c r="N9" s="28" t="n">
        <v>0.05</v>
      </c>
      <c r="O9" s="29" t="n">
        <v>0.45</v>
      </c>
      <c r="P9" s="2" t="n"/>
    </row>
    <row r="10" ht="15.6" customHeight="1">
      <c r="B10" s="68" t="n"/>
      <c r="C10" s="24" t="inlineStr">
        <is>
          <t>NRM</t>
        </is>
      </c>
      <c r="D10" s="25" t="n">
        <v>2.214285714285714</v>
      </c>
      <c r="E10" s="26" t="n">
        <v>0.3163265306122449</v>
      </c>
      <c r="F10" s="27" t="n">
        <v>0.2857142857142857</v>
      </c>
      <c r="G10" s="25" t="n">
        <v>1</v>
      </c>
      <c r="H10" s="28" t="n">
        <v>0.4285714285714285</v>
      </c>
      <c r="I10" s="28" t="n">
        <v>536.2857142857143</v>
      </c>
      <c r="J10" s="29" t="n">
        <v>2.857142857142857</v>
      </c>
      <c r="K10" s="25" t="inlineStr">
        <is>
          <t>N/A</t>
        </is>
      </c>
      <c r="L10" s="28" t="inlineStr">
        <is>
          <t>N/A</t>
        </is>
      </c>
      <c r="M10" s="28" t="inlineStr">
        <is>
          <t>N/A</t>
        </is>
      </c>
      <c r="N10" s="28" t="n">
        <v>1.428571428571429</v>
      </c>
      <c r="O10" s="29" t="n">
        <v>0.2857142857142857</v>
      </c>
      <c r="P10" s="2" t="n"/>
    </row>
    <row r="11" ht="15.6" customHeight="1" thickBot="1">
      <c r="B11" s="69" t="n"/>
      <c r="C11" s="30" t="inlineStr">
        <is>
          <t>Mechanization</t>
        </is>
      </c>
      <c r="D11" s="31" t="n">
        <v>0</v>
      </c>
      <c r="E11" s="32" t="n">
        <v>0</v>
      </c>
      <c r="F11" s="33" t="n">
        <v>0</v>
      </c>
      <c r="G11" s="31" t="n">
        <v>0.5</v>
      </c>
      <c r="H11" s="34" t="n">
        <v>0.25</v>
      </c>
      <c r="I11" s="34" t="n">
        <v>0</v>
      </c>
      <c r="J11" s="35" t="n">
        <v>0</v>
      </c>
      <c r="K11" s="31" t="inlineStr">
        <is>
          <t>N/A</t>
        </is>
      </c>
      <c r="L11" s="34" t="inlineStr">
        <is>
          <t>N/A</t>
        </is>
      </c>
      <c r="M11" s="34" t="inlineStr">
        <is>
          <t>N/A</t>
        </is>
      </c>
      <c r="N11" s="34" t="n">
        <v>0.75</v>
      </c>
      <c r="O11" s="35" t="n">
        <v>0.75</v>
      </c>
      <c r="P11" s="2" t="n"/>
    </row>
    <row r="12" ht="15.6" customHeight="1">
      <c r="B12" s="71" t="inlineStr">
        <is>
          <t>ST</t>
        </is>
      </c>
      <c r="C12" s="36" t="inlineStr">
        <is>
          <t>FIAS</t>
        </is>
      </c>
      <c r="D12" s="37" t="n">
        <v>0.9018181818181819</v>
      </c>
      <c r="E12" s="38" t="n">
        <v>0.08198347107438017</v>
      </c>
      <c r="F12" s="39" t="n">
        <v>0</v>
      </c>
      <c r="G12" s="37" t="n">
        <v>0.4545454545454545</v>
      </c>
      <c r="H12" s="40" t="n">
        <v>0.4545454545454545</v>
      </c>
      <c r="I12" s="41" t="n">
        <v>8.545454545454545</v>
      </c>
      <c r="J12" s="42" t="n">
        <v>9.909090909090908</v>
      </c>
      <c r="K12" s="43" t="inlineStr">
        <is>
          <t>N/A</t>
        </is>
      </c>
      <c r="L12" s="41" t="inlineStr">
        <is>
          <t>N/A</t>
        </is>
      </c>
      <c r="M12" s="41" t="inlineStr">
        <is>
          <t>N/A</t>
        </is>
      </c>
      <c r="N12" s="40" t="n">
        <v>0</v>
      </c>
      <c r="O12" s="44" t="n">
        <v>0</v>
      </c>
      <c r="P12" s="2" t="n"/>
    </row>
    <row r="13" ht="15.6" customHeight="1">
      <c r="B13" s="68" t="n"/>
      <c r="C13" s="24" t="inlineStr">
        <is>
          <t>GeYSI</t>
        </is>
      </c>
      <c r="D13" s="45" t="n">
        <v>0.6</v>
      </c>
      <c r="E13" s="46" t="n">
        <v>0.05454545454545454</v>
      </c>
      <c r="F13" s="47" t="n">
        <v>0</v>
      </c>
      <c r="G13" s="45" t="n">
        <v>0.3636363636363636</v>
      </c>
      <c r="H13" s="48" t="n">
        <v>0.2727272727272727</v>
      </c>
      <c r="I13" s="28" t="n">
        <v>173.8181818181818</v>
      </c>
      <c r="J13" s="29" t="n">
        <v>14.18181818181818</v>
      </c>
      <c r="K13" s="25" t="inlineStr">
        <is>
          <t>N/A</t>
        </is>
      </c>
      <c r="L13" s="28" t="inlineStr">
        <is>
          <t>N/A</t>
        </is>
      </c>
      <c r="M13" s="28" t="inlineStr">
        <is>
          <t>N/A</t>
        </is>
      </c>
      <c r="N13" s="48" t="n">
        <v>0.2272727272727273</v>
      </c>
      <c r="O13" s="49" t="n">
        <v>0</v>
      </c>
      <c r="P13" s="2" t="n"/>
    </row>
    <row r="14" ht="15.6" customHeight="1">
      <c r="B14" s="68" t="n"/>
      <c r="C14" s="24" t="inlineStr">
        <is>
          <t>RCA</t>
        </is>
      </c>
      <c r="D14" s="45" t="n">
        <v>2.666</v>
      </c>
      <c r="E14" s="46" t="n">
        <v>0.5332</v>
      </c>
      <c r="F14" s="47" t="n">
        <v>0.2</v>
      </c>
      <c r="G14" s="45" t="n">
        <v>0.2</v>
      </c>
      <c r="H14" s="48" t="n">
        <v>0.4</v>
      </c>
      <c r="I14" s="28" t="n">
        <v>0</v>
      </c>
      <c r="J14" s="29" t="n">
        <v>0</v>
      </c>
      <c r="K14" s="25" t="inlineStr">
        <is>
          <t>N/A</t>
        </is>
      </c>
      <c r="L14" s="28" t="inlineStr">
        <is>
          <t>N/A</t>
        </is>
      </c>
      <c r="M14" s="28" t="inlineStr">
        <is>
          <t>N/A</t>
        </is>
      </c>
      <c r="N14" s="48" t="n">
        <v>0.5</v>
      </c>
      <c r="O14" s="49" t="n">
        <v>0</v>
      </c>
      <c r="P14" s="2" t="n"/>
    </row>
    <row r="15" ht="15.6" customHeight="1">
      <c r="B15" s="68" t="n"/>
      <c r="C15" s="24" t="inlineStr">
        <is>
          <t>Nutrition</t>
        </is>
      </c>
      <c r="D15" s="45" t="n">
        <v>3.125</v>
      </c>
      <c r="E15" s="46" t="n">
        <v>0.78125</v>
      </c>
      <c r="F15" s="47" t="n">
        <v>0</v>
      </c>
      <c r="G15" s="45" t="n">
        <v>0.5</v>
      </c>
      <c r="H15" s="48" t="n">
        <v>2</v>
      </c>
      <c r="I15" s="28" t="n">
        <v>32.5</v>
      </c>
      <c r="J15" s="29" t="n">
        <v>3.75</v>
      </c>
      <c r="K15" s="25" t="inlineStr">
        <is>
          <t>N/A</t>
        </is>
      </c>
      <c r="L15" s="28" t="inlineStr">
        <is>
          <t>N/A</t>
        </is>
      </c>
      <c r="M15" s="28" t="inlineStr">
        <is>
          <t>N/A</t>
        </is>
      </c>
      <c r="N15" s="48" t="n">
        <v>0</v>
      </c>
      <c r="O15" s="49" t="n">
        <v>0</v>
      </c>
      <c r="P15" s="2" t="n"/>
    </row>
    <row r="16" ht="15.6" customHeight="1" thickBot="1">
      <c r="B16" s="72" t="n"/>
      <c r="C16" s="30" t="inlineStr">
        <is>
          <t>VCMA</t>
        </is>
      </c>
      <c r="D16" s="50" t="n">
        <v>0.3</v>
      </c>
      <c r="E16" s="51" t="n">
        <v>0.03</v>
      </c>
      <c r="F16" s="52" t="n">
        <v>0</v>
      </c>
      <c r="G16" s="50" t="n">
        <v>0.5</v>
      </c>
      <c r="H16" s="53" t="n">
        <v>0.3</v>
      </c>
      <c r="I16" s="34" t="n">
        <v>100.7</v>
      </c>
      <c r="J16" s="35" t="n">
        <v>8.1</v>
      </c>
      <c r="K16" s="31" t="inlineStr">
        <is>
          <t>N/A</t>
        </is>
      </c>
      <c r="L16" s="34" t="inlineStr">
        <is>
          <t>N/A</t>
        </is>
      </c>
      <c r="M16" s="34" t="inlineStr">
        <is>
          <t>N/A</t>
        </is>
      </c>
      <c r="N16" s="53" t="n">
        <v>0</v>
      </c>
      <c r="O16" s="54" t="n">
        <v>0</v>
      </c>
      <c r="P16" s="2" t="n"/>
    </row>
    <row r="17" customFormat="1" s="55">
      <c r="B17" s="56" t="n"/>
      <c r="C17" s="58" t="inlineStr">
        <is>
          <t>per Program Target (target/13)</t>
        </is>
      </c>
      <c r="D17" s="76" t="n">
        <v>2.045112781954887</v>
      </c>
      <c r="E17" s="76" t="n">
        <v>0.01503759398496241</v>
      </c>
      <c r="F17" s="76" t="n">
        <v>0.09774436090225563</v>
      </c>
      <c r="G17" s="76" t="n">
        <v>1.12781954887218</v>
      </c>
      <c r="H17" s="76" t="n">
        <v>0.4511278195488722</v>
      </c>
      <c r="I17" s="76" t="n">
        <v>90.22556390977444</v>
      </c>
      <c r="J17" s="76" t="n">
        <v>1.12781954887218</v>
      </c>
      <c r="K17" s="76" t="n">
        <v>0.04511278195488722</v>
      </c>
      <c r="L17" s="76" t="n">
        <v>0.000112781954887218</v>
      </c>
      <c r="M17" s="76" t="n">
        <v>0.007518796992481203</v>
      </c>
      <c r="N17" s="77" t="n">
        <v>0.1503759398496241</v>
      </c>
      <c r="O17" s="77" t="n">
        <v>0.2255639097744361</v>
      </c>
      <c r="P17" s="57" t="n"/>
      <c r="Q17" s="57" t="n"/>
      <c r="R17" s="57" t="n"/>
      <c r="S17" s="57" t="n"/>
      <c r="T17" s="57" t="n"/>
      <c r="U17" s="57" t="n"/>
      <c r="V17" s="57" t="n"/>
    </row>
    <row r="18"/>
    <row r="19" hidden="1">
      <c r="C19" s="61" t="n"/>
    </row>
    <row r="20" hidden="1">
      <c r="C20" s="62" t="n"/>
    </row>
    <row r="21" hidden="1">
      <c r="C21" s="63" t="n"/>
    </row>
    <row r="22" hidden="1"/>
  </sheetData>
  <mergeCells count="7">
    <mergeCell ref="D2:F2"/>
    <mergeCell ref="B8:B11"/>
    <mergeCell ref="B4:B7"/>
    <mergeCell ref="K2:O2"/>
    <mergeCell ref="B12:B16"/>
    <mergeCell ref="G2:J2"/>
    <mergeCell ref="C1:O1"/>
  </mergeCells>
  <conditionalFormatting sqref="D4:D16">
    <cfRule type="colorScale" priority="149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0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56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59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60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62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64">
      <colorScale>
        <cfvo type="min"/>
        <cfvo type="formula" val="$K$17/2"/>
        <cfvo type="formula" val="$K$17"/>
        <color rgb="FFFF0000"/>
        <color rgb="FFFFEB84"/>
        <color rgb="FF00B050"/>
      </colorScale>
    </cfRule>
  </conditionalFormatting>
  <conditionalFormatting sqref="L4:L16">
    <cfRule type="colorScale" priority="165">
      <colorScale>
        <cfvo type="min"/>
        <cfvo type="formula" val="$L$17"/>
        <color rgb="FFF8696B"/>
        <color rgb="FF00B050"/>
      </colorScale>
    </cfRule>
  </conditionalFormatting>
  <conditionalFormatting sqref="M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M4:M16">
    <cfRule type="colorScale" priority="89">
      <colorScale>
        <cfvo type="min"/>
        <cfvo type="formula" val="MAX($M$4:$M$16)/2"/>
        <cfvo type="max"/>
        <color rgb="FFF8696B"/>
        <color rgb="FFFFEB84"/>
        <color rgb="FF63BE7B"/>
      </colorScale>
    </cfRule>
  </conditionalFormatting>
  <conditionalFormatting sqref="M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">
      <colorScale>
        <cfvo type="min"/>
        <cfvo type="formula" val="MAX($L$4:$L$16)/2"/>
        <cfvo type="max"/>
        <color rgb="FFF8696B"/>
        <color rgb="FFFFEB84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:M16">
    <cfRule type="colorScale" priority="99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">
      <colorScale>
        <cfvo type="min"/>
        <cfvo type="formula" val="MAX(#REF!)/2"/>
        <cfvo type="max"/>
        <color rgb="FFF8696B"/>
        <color rgb="FFFFEB84"/>
        <color rgb="FF63BE7B"/>
      </colorScale>
    </cfRule>
  </conditionalFormatting>
  <conditionalFormatting sqref="M7:M16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77">
      <colorScale>
        <cfvo type="min"/>
        <cfvo type="formula" val="MAX($L$4:$L$16)/2"/>
        <cfvo type="max"/>
        <color rgb="FFF8696B"/>
        <color rgb="FFFFEB84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4:N16">
    <cfRule type="colorScale" priority="166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69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8" scale="60"/>
  <colBreaks count="1" manualBreakCount="1">
    <brk id="7" min="0" max="18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Lewis, Sabra (IITA)</dc:creator>
  <dcterms:created xsi:type="dcterms:W3CDTF">2026-04-08T13:52:54Z</dcterms:created>
  <dcterms:modified xsi:type="dcterms:W3CDTF">2026-04-09T14:09:13Z</dcterms:modified>
  <cp:lastModifiedBy>Devari, Aalakh (SI EA R&amp;D AU SDA)</cp:lastModifiedBy>
</cp:coreProperties>
</file>