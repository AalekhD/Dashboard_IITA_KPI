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earning\Miscellaneous\KPIDashboard\data\"/>
    </mc:Choice>
  </mc:AlternateContent>
  <xr:revisionPtr revIDLastSave="0" documentId="13_ncr:1_{D61134E1-F9C4-40AF-9F5C-C01B544E6BDB}" xr6:coauthVersionLast="47" xr6:coauthVersionMax="47" xr10:uidLastSave="{00000000-0000-0000-0000-000000000000}"/>
  <bookViews>
    <workbookView xWindow="-108" yWindow="-108" windowWidth="23256" windowHeight="13896" xr2:uid="{7854C689-FBEF-4104-AB78-E5B5C107CDEC}"/>
  </bookViews>
  <sheets>
    <sheet name="Res, Cap, Product" sheetId="1" r:id="rId1"/>
  </sheets>
  <externalReferences>
    <externalReference r:id="rId2"/>
  </externalReferences>
  <definedNames>
    <definedName name="_Hlk200085589" localSheetId="0">'Res, Cap, Product'!#REF!</definedName>
    <definedName name="_xlnm.Print_Area" localSheetId="0">'Res, Cap, Product'!$A$1:$O$17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</calcChain>
</file>

<file path=xl/sharedStrings.xml><?xml version="1.0" encoding="utf-8"?>
<sst xmlns="http://schemas.openxmlformats.org/spreadsheetml/2006/main" count="35" uniqueCount="35">
  <si>
    <t>KPI by FTE</t>
  </si>
  <si>
    <t>Research Outputs</t>
  </si>
  <si>
    <t>Training and Capacity Building</t>
  </si>
  <si>
    <t>Product Development</t>
  </si>
  <si>
    <t>Varieties released</t>
  </si>
  <si>
    <t>Annual rate of genetic gain, by crop (%)</t>
  </si>
  <si>
    <t>Breeding</t>
  </si>
  <si>
    <t>Genebanks</t>
  </si>
  <si>
    <t>Seed System</t>
  </si>
  <si>
    <t>Plant Health</t>
  </si>
  <si>
    <t>Farming Systems Agronomy</t>
  </si>
  <si>
    <t>Mechanization</t>
  </si>
  <si>
    <t>per Program Target (target/13)</t>
  </si>
  <si>
    <t>Thompson indexed publications</t>
  </si>
  <si>
    <t>Publications per IRS</t>
  </si>
  <si>
    <t>High impact publications &gt;10</t>
  </si>
  <si>
    <t xml:space="preserve">PhD and MsC students enrolled </t>
  </si>
  <si>
    <t>PhD and MSc thesis accepted</t>
  </si>
  <si>
    <t>Delivery partners trained</t>
  </si>
  <si>
    <t>National scientists trained</t>
  </si>
  <si>
    <t>Crop Trust performance compliance rate</t>
  </si>
  <si>
    <t>Innovations in TAAT e-catalog</t>
  </si>
  <si>
    <t>Innovations taken on by scaling partners</t>
  </si>
  <si>
    <t>Natural Resource Management</t>
  </si>
  <si>
    <t>Foresight &amp; Impact Assessment</t>
  </si>
  <si>
    <t>Gender, Youth &amp; Social Inclusion</t>
  </si>
  <si>
    <t>Reslience &amp; Climate Adaptation</t>
  </si>
  <si>
    <t>Nutrition and Health</t>
  </si>
  <si>
    <t>Value Chain Markets and Agribusiness</t>
  </si>
  <si>
    <t>Genetic Innovation</t>
  </si>
  <si>
    <t>Resilient Agrifood Systems</t>
  </si>
  <si>
    <t>Systems Transformation</t>
  </si>
  <si>
    <t>FTE - Number
 of staff</t>
  </si>
  <si>
    <t>IITA Program</t>
  </si>
  <si>
    <t>Biotechnology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</si>
</sst>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4"/>
      <color theme="1"/>
      <name val="Aptos Narrow"/>
      <family val="2"/>
      <scheme val="minor"/>
    </font>
    <font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9"/>
      <color theme="1"/>
      <name val="Calibri"/>
      <family val="2"/>
    </font>
    <font>
      <sz val="9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thin">
        <color rgb="FF00B050"/>
      </bottom>
      <diagonal/>
    </border>
    <border>
      <left style="medium">
        <color theme="1"/>
      </left>
      <right/>
      <top style="thin">
        <color rgb="FF00B050"/>
      </top>
      <bottom style="thin">
        <color rgb="FF00B050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rgb="FF00B050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 applyAlignment="1">
      <alignment horizontal="center"/>
    </xf>
    <xf numFmtId="165" fontId="0" fillId="0" borderId="0" xfId="0" applyNumberFormat="1"/>
    <xf numFmtId="0" fontId="2" fillId="0" borderId="8" xfId="0" applyFont="1" applyBorder="1" applyAlignment="1">
      <alignment horizontal="left" vertical="top" readingOrder="1"/>
    </xf>
    <xf numFmtId="165" fontId="5" fillId="0" borderId="0" xfId="0" applyNumberFormat="1" applyFont="1"/>
    <xf numFmtId="0" fontId="5" fillId="0" borderId="0" xfId="0" applyFont="1"/>
    <xf numFmtId="2" fontId="2" fillId="0" borderId="6" xfId="1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13" xfId="1" applyNumberFormat="1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2" fontId="2" fillId="0" borderId="15" xfId="1" applyNumberFormat="1" applyFont="1" applyBorder="1" applyAlignment="1">
      <alignment horizontal="center"/>
    </xf>
    <xf numFmtId="2" fontId="2" fillId="0" borderId="15" xfId="0" applyNumberFormat="1" applyFont="1" applyBorder="1" applyAlignment="1">
      <alignment horizontal="center"/>
    </xf>
    <xf numFmtId="2" fontId="2" fillId="2" borderId="16" xfId="1" applyNumberFormat="1" applyFont="1" applyFill="1" applyBorder="1" applyAlignment="1">
      <alignment horizontal="center"/>
    </xf>
    <xf numFmtId="2" fontId="2" fillId="2" borderId="16" xfId="0" applyNumberFormat="1" applyFont="1" applyFill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2" borderId="13" xfId="1" applyNumberFormat="1" applyFont="1" applyFill="1" applyBorder="1" applyAlignment="1">
      <alignment horizontal="center"/>
    </xf>
    <xf numFmtId="2" fontId="2" fillId="2" borderId="13" xfId="0" applyNumberFormat="1" applyFont="1" applyFill="1" applyBorder="1" applyAlignment="1">
      <alignment horizontal="center"/>
    </xf>
    <xf numFmtId="0" fontId="6" fillId="0" borderId="0" xfId="0" applyFont="1"/>
    <xf numFmtId="165" fontId="6" fillId="0" borderId="0" xfId="0" applyNumberFormat="1" applyFont="1"/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4" fillId="0" borderId="18" xfId="0" applyFont="1" applyBorder="1" applyAlignment="1">
      <alignment horizontal="center" textRotation="90" wrapText="1" readingOrder="1"/>
    </xf>
    <xf numFmtId="0" fontId="4" fillId="0" borderId="19" xfId="0" applyFont="1" applyBorder="1" applyAlignment="1">
      <alignment horizontal="center" textRotation="90" wrapText="1" readingOrder="1"/>
    </xf>
    <xf numFmtId="0" fontId="4" fillId="0" borderId="20" xfId="0" applyFont="1" applyBorder="1" applyAlignment="1">
      <alignment horizontal="center" textRotation="90" wrapText="1" readingOrder="1"/>
    </xf>
    <xf numFmtId="0" fontId="2" fillId="0" borderId="19" xfId="0" applyFont="1" applyBorder="1" applyAlignment="1">
      <alignment horizontal="center" textRotation="90" wrapText="1" readingOrder="1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2" fontId="2" fillId="0" borderId="26" xfId="0" applyNumberFormat="1" applyFont="1" applyBorder="1" applyAlignment="1">
      <alignment horizontal="center"/>
    </xf>
    <xf numFmtId="2" fontId="2" fillId="0" borderId="27" xfId="1" applyNumberFormat="1" applyFont="1" applyBorder="1" applyAlignment="1">
      <alignment horizontal="center"/>
    </xf>
    <xf numFmtId="2" fontId="2" fillId="0" borderId="28" xfId="2" applyNumberFormat="1" applyFont="1" applyBorder="1" applyAlignment="1">
      <alignment horizontal="center"/>
    </xf>
    <xf numFmtId="2" fontId="2" fillId="0" borderId="29" xfId="0" applyNumberFormat="1" applyFont="1" applyBorder="1" applyAlignment="1">
      <alignment horizontal="center"/>
    </xf>
    <xf numFmtId="2" fontId="2" fillId="0" borderId="30" xfId="2" applyNumberFormat="1" applyFont="1" applyBorder="1" applyAlignment="1">
      <alignment horizontal="center"/>
    </xf>
    <xf numFmtId="2" fontId="2" fillId="0" borderId="31" xfId="0" applyNumberFormat="1" applyFont="1" applyBorder="1" applyAlignment="1">
      <alignment horizontal="center"/>
    </xf>
    <xf numFmtId="2" fontId="2" fillId="0" borderId="32" xfId="2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2" fontId="2" fillId="0" borderId="34" xfId="2" applyNumberFormat="1" applyFont="1" applyBorder="1" applyAlignment="1">
      <alignment horizontal="center"/>
    </xf>
    <xf numFmtId="2" fontId="2" fillId="2" borderId="35" xfId="0" applyNumberFormat="1" applyFont="1" applyFill="1" applyBorder="1" applyAlignment="1">
      <alignment horizontal="center"/>
    </xf>
    <xf numFmtId="2" fontId="2" fillId="2" borderId="36" xfId="2" applyNumberFormat="1" applyFont="1" applyFill="1" applyBorder="1" applyAlignment="1">
      <alignment horizontal="center"/>
    </xf>
    <xf numFmtId="2" fontId="2" fillId="2" borderId="29" xfId="0" applyNumberFormat="1" applyFont="1" applyFill="1" applyBorder="1" applyAlignment="1">
      <alignment horizontal="center"/>
    </xf>
    <xf numFmtId="2" fontId="2" fillId="2" borderId="30" xfId="2" applyNumberFormat="1" applyFont="1" applyFill="1" applyBorder="1" applyAlignment="1">
      <alignment horizontal="center"/>
    </xf>
    <xf numFmtId="2" fontId="2" fillId="2" borderId="37" xfId="0" applyNumberFormat="1" applyFont="1" applyFill="1" applyBorder="1" applyAlignment="1">
      <alignment horizontal="center"/>
    </xf>
    <xf numFmtId="2" fontId="2" fillId="2" borderId="38" xfId="1" applyNumberFormat="1" applyFont="1" applyFill="1" applyBorder="1" applyAlignment="1">
      <alignment horizontal="center"/>
    </xf>
    <xf numFmtId="2" fontId="2" fillId="2" borderId="39" xfId="2" applyNumberFormat="1" applyFont="1" applyFill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2" fontId="2" fillId="0" borderId="28" xfId="0" applyNumberFormat="1" applyFont="1" applyBorder="1" applyAlignment="1">
      <alignment horizontal="center"/>
    </xf>
    <xf numFmtId="2" fontId="2" fillId="0" borderId="30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2" fontId="2" fillId="0" borderId="34" xfId="0" applyNumberFormat="1" applyFont="1" applyBorder="1" applyAlignment="1">
      <alignment horizontal="center"/>
    </xf>
    <xf numFmtId="2" fontId="2" fillId="0" borderId="36" xfId="0" applyNumberFormat="1" applyFont="1" applyBorder="1" applyAlignment="1">
      <alignment horizontal="center"/>
    </xf>
    <xf numFmtId="2" fontId="2" fillId="2" borderId="38" xfId="0" applyNumberFormat="1" applyFont="1" applyFill="1" applyBorder="1" applyAlignment="1">
      <alignment horizontal="center"/>
    </xf>
    <xf numFmtId="2" fontId="2" fillId="0" borderId="38" xfId="0" applyNumberFormat="1" applyFont="1" applyBorder="1" applyAlignment="1">
      <alignment horizontal="center"/>
    </xf>
    <xf numFmtId="2" fontId="2" fillId="0" borderId="39" xfId="0" applyNumberFormat="1" applyFont="1" applyBorder="1" applyAlignment="1">
      <alignment horizontal="center"/>
    </xf>
    <xf numFmtId="2" fontId="2" fillId="0" borderId="40" xfId="0" applyNumberFormat="1" applyFont="1" applyBorder="1" applyAlignment="1">
      <alignment horizontal="center"/>
    </xf>
    <xf numFmtId="2" fontId="2" fillId="0" borderId="35" xfId="0" applyNumberFormat="1" applyFont="1" applyBorder="1" applyAlignment="1">
      <alignment horizontal="center"/>
    </xf>
    <xf numFmtId="2" fontId="2" fillId="2" borderId="36" xfId="0" applyNumberFormat="1" applyFont="1" applyFill="1" applyBorder="1" applyAlignment="1">
      <alignment horizontal="center"/>
    </xf>
    <xf numFmtId="2" fontId="2" fillId="2" borderId="30" xfId="0" applyNumberFormat="1" applyFont="1" applyFill="1" applyBorder="1" applyAlignment="1">
      <alignment horizontal="center"/>
    </xf>
    <xf numFmtId="2" fontId="2" fillId="0" borderId="37" xfId="0" applyNumberFormat="1" applyFont="1" applyBorder="1" applyAlignment="1">
      <alignment horizontal="center"/>
    </xf>
    <xf numFmtId="2" fontId="2" fillId="0" borderId="41" xfId="0" applyNumberFormat="1" applyFont="1" applyBorder="1" applyAlignment="1">
      <alignment horizontal="center"/>
    </xf>
    <xf numFmtId="2" fontId="2" fillId="2" borderId="39" xfId="0" applyNumberFormat="1" applyFont="1" applyFill="1" applyBorder="1" applyAlignment="1">
      <alignment horizontal="center"/>
    </xf>
    <xf numFmtId="0" fontId="7" fillId="3" borderId="43" xfId="0" applyFont="1" applyFill="1" applyBorder="1" applyAlignment="1"/>
    <xf numFmtId="0" fontId="2" fillId="3" borderId="44" xfId="0" applyFont="1" applyFill="1" applyBorder="1" applyAlignment="1">
      <alignment horizontal="right"/>
    </xf>
    <xf numFmtId="164" fontId="7" fillId="3" borderId="44" xfId="1" applyFont="1" applyFill="1" applyBorder="1" applyAlignment="1">
      <alignment horizontal="center"/>
    </xf>
    <xf numFmtId="164" fontId="7" fillId="3" borderId="44" xfId="0" applyNumberFormat="1" applyFont="1" applyFill="1" applyBorder="1" applyAlignment="1">
      <alignment horizontal="center"/>
    </xf>
    <xf numFmtId="164" fontId="7" fillId="3" borderId="45" xfId="0" applyNumberFormat="1" applyFont="1" applyFill="1" applyBorder="1" applyAlignment="1">
      <alignment horizontal="center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right" vertical="center" wrapText="1"/>
    </xf>
    <xf numFmtId="0" fontId="4" fillId="0" borderId="47" xfId="0" applyFont="1" applyBorder="1" applyAlignment="1">
      <alignment horizontal="right" vertical="center" wrapText="1"/>
    </xf>
    <xf numFmtId="0" fontId="4" fillId="0" borderId="48" xfId="0" applyFont="1" applyBorder="1" applyAlignment="1">
      <alignment horizontal="right" vertical="center" wrapText="1"/>
    </xf>
    <xf numFmtId="0" fontId="4" fillId="0" borderId="49" xfId="0" applyFont="1" applyBorder="1" applyAlignment="1">
      <alignment horizontal="right" vertical="center" wrapText="1"/>
    </xf>
    <xf numFmtId="0" fontId="4" fillId="0" borderId="50" xfId="0" applyFont="1" applyBorder="1" applyAlignment="1">
      <alignment horizontal="right" vertical="center" wrapText="1"/>
    </xf>
    <xf numFmtId="0" fontId="4" fillId="0" borderId="51" xfId="0" applyFont="1" applyBorder="1" applyAlignment="1">
      <alignment horizontal="right" vertical="center" wrapText="1"/>
    </xf>
    <xf numFmtId="0" fontId="7" fillId="2" borderId="10" xfId="0" applyFont="1" applyFill="1" applyBorder="1" applyAlignment="1">
      <alignment horizontal="center" vertical="center" textRotation="90" wrapText="1"/>
    </xf>
    <xf numFmtId="0" fontId="7" fillId="2" borderId="11" xfId="0" applyFont="1" applyFill="1" applyBorder="1" applyAlignment="1">
      <alignment horizontal="center" vertical="center" textRotation="90" wrapText="1"/>
    </xf>
    <xf numFmtId="0" fontId="7" fillId="2" borderId="14" xfId="0" applyFont="1" applyFill="1" applyBorder="1" applyAlignment="1">
      <alignment horizontal="center" vertical="center" textRotation="90" wrapText="1"/>
    </xf>
    <xf numFmtId="0" fontId="7" fillId="2" borderId="9" xfId="0" applyFont="1" applyFill="1" applyBorder="1" applyAlignment="1">
      <alignment horizontal="center" vertical="center" textRotation="90" wrapText="1"/>
    </xf>
    <xf numFmtId="0" fontId="7" fillId="2" borderId="17" xfId="0" applyFont="1" applyFill="1" applyBorder="1" applyAlignment="1">
      <alignment horizontal="center" vertical="center" textRotation="90" wrapText="1"/>
    </xf>
    <xf numFmtId="0" fontId="7" fillId="2" borderId="4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6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5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giar-my.sharepoint.com/personal/s_lewis_cgiar_org/Documents/TAAT/R4D/KPIS/DASHBOARD/calculations%20-%20KPI%20by%20FTE%20and%20$.xlsx" TargetMode="External"/><Relationship Id="rId1" Type="http://schemas.openxmlformats.org/officeDocument/2006/relationships/externalLinkPath" Target="https://cgiar-my.sharepoint.com/personal/s_lewis_cgiar_org/Documents/TAAT/R4D/KPIS/DASHBOARD/calculations%20-%20KPI%20by%20FTE%20and%20$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 1"/>
      <sheetName val="PR 2"/>
      <sheetName val="PR 3"/>
      <sheetName val="PR 4"/>
      <sheetName val="PR 5"/>
      <sheetName val="PR 6"/>
      <sheetName val="PR 7"/>
      <sheetName val="PR 8"/>
      <sheetName val="PR 9"/>
      <sheetName val="PR 10"/>
      <sheetName val="PR 11"/>
      <sheetName val="PR 12"/>
      <sheetName val="PR 13"/>
      <sheetName val="PR 14"/>
      <sheetName val="PR15"/>
      <sheetName val="PR 16"/>
      <sheetName val="PR 18"/>
      <sheetName val="PR 19"/>
      <sheetName val="PR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G4">
            <v>0.65217391304347827</v>
          </cell>
        </row>
      </sheetData>
      <sheetData sheetId="8">
        <row r="4">
          <cell r="G4">
            <v>6.521739130434782E-4</v>
          </cell>
        </row>
      </sheetData>
      <sheetData sheetId="9">
        <row r="5">
          <cell r="G5">
            <v>0.25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D173-9F84-4343-95EB-C15569A0A6E1}">
  <sheetPr>
    <tabColor rgb="FFFF0000"/>
    <pageSetUpPr fitToPage="1"/>
  </sheetPr>
  <dimension ref="A1:P22"/>
  <sheetViews>
    <sheetView tabSelected="1" zoomScale="115" zoomScaleNormal="115" zoomScaleSheetLayoutView="75" workbookViewId="0">
      <selection activeCell="S4" sqref="S4"/>
    </sheetView>
  </sheetViews>
  <sheetFormatPr defaultRowHeight="14.4" x14ac:dyDescent="0.3"/>
  <cols>
    <col min="1" max="1" width="8.21875" style="1" customWidth="1"/>
    <col min="2" max="2" width="38.77734375" style="1" customWidth="1"/>
    <col min="3" max="3" width="4.44140625" style="28" bestFit="1" customWidth="1"/>
    <col min="4" max="8" width="6.21875" style="1" customWidth="1"/>
    <col min="9" max="9" width="8.21875" style="4" customWidth="1"/>
    <col min="10" max="10" width="8.6640625" style="4" customWidth="1"/>
    <col min="11" max="11" width="6.21875" style="4" customWidth="1"/>
    <col min="12" max="12" width="7.77734375" style="4" customWidth="1"/>
    <col min="13" max="13" width="6.21875" style="4" customWidth="1"/>
    <col min="14" max="14" width="7.77734375" style="4" customWidth="1"/>
    <col min="15" max="15" width="6.21875" style="4" customWidth="1"/>
    <col min="16" max="16" width="8.21875" style="2" customWidth="1"/>
  </cols>
  <sheetData>
    <row r="1" spans="1:16" ht="15" thickBot="1" x14ac:dyDescent="0.35">
      <c r="B1" s="31" t="s">
        <v>0</v>
      </c>
      <c r="C1" s="32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</row>
    <row r="2" spans="1:16" s="96" customFormat="1" ht="27.6" customHeight="1" x14ac:dyDescent="0.3">
      <c r="A2" s="97"/>
      <c r="B2" s="87" t="s">
        <v>33</v>
      </c>
      <c r="C2" s="88"/>
      <c r="D2" s="89" t="s">
        <v>1</v>
      </c>
      <c r="E2" s="90"/>
      <c r="F2" s="91"/>
      <c r="G2" s="92" t="s">
        <v>2</v>
      </c>
      <c r="H2" s="93"/>
      <c r="I2" s="93"/>
      <c r="J2" s="94"/>
      <c r="K2" s="92" t="s">
        <v>3</v>
      </c>
      <c r="L2" s="93"/>
      <c r="M2" s="93"/>
      <c r="N2" s="93"/>
      <c r="O2" s="94"/>
      <c r="P2" s="95"/>
    </row>
    <row r="3" spans="1:16" s="5" customFormat="1" ht="118.2" customHeight="1" thickBot="1" x14ac:dyDescent="0.3">
      <c r="A3" s="98"/>
      <c r="B3" s="3"/>
      <c r="C3" s="23" t="s">
        <v>32</v>
      </c>
      <c r="D3" s="23" t="s">
        <v>13</v>
      </c>
      <c r="E3" s="24" t="s">
        <v>14</v>
      </c>
      <c r="F3" s="25" t="s">
        <v>15</v>
      </c>
      <c r="G3" s="23" t="s">
        <v>16</v>
      </c>
      <c r="H3" s="24" t="s">
        <v>17</v>
      </c>
      <c r="I3" s="24" t="s">
        <v>18</v>
      </c>
      <c r="J3" s="25" t="s">
        <v>19</v>
      </c>
      <c r="K3" s="23" t="s">
        <v>4</v>
      </c>
      <c r="L3" s="26" t="s">
        <v>5</v>
      </c>
      <c r="M3" s="26" t="s">
        <v>20</v>
      </c>
      <c r="N3" s="24" t="s">
        <v>21</v>
      </c>
      <c r="O3" s="25" t="s">
        <v>22</v>
      </c>
      <c r="P3" s="4"/>
    </row>
    <row r="4" spans="1:16" ht="15.45" customHeight="1" x14ac:dyDescent="0.3">
      <c r="A4" s="82" t="s">
        <v>29</v>
      </c>
      <c r="B4" s="72" t="s">
        <v>34</v>
      </c>
      <c r="C4" s="76">
        <v>7</v>
      </c>
      <c r="D4" s="35">
        <v>3.1428571428571428</v>
      </c>
      <c r="E4" s="36">
        <v>3.1357142857142857</v>
      </c>
      <c r="F4" s="37">
        <v>0.14285714285714285</v>
      </c>
      <c r="G4" s="35">
        <v>0.14285714285714285</v>
      </c>
      <c r="H4" s="51">
        <v>0.14285714285714285</v>
      </c>
      <c r="I4" s="51">
        <v>9.7142857142857135</v>
      </c>
      <c r="J4" s="52">
        <v>26.285714285714285</v>
      </c>
      <c r="K4" s="35">
        <v>0</v>
      </c>
      <c r="L4" s="60">
        <v>0</v>
      </c>
      <c r="M4" s="60">
        <v>0</v>
      </c>
      <c r="N4" s="51">
        <v>0.14285714285714285</v>
      </c>
      <c r="O4" s="52">
        <v>0</v>
      </c>
    </row>
    <row r="5" spans="1:16" ht="15.6" customHeight="1" x14ac:dyDescent="0.3">
      <c r="A5" s="83"/>
      <c r="B5" s="73" t="s">
        <v>6</v>
      </c>
      <c r="C5" s="77">
        <v>23</v>
      </c>
      <c r="D5" s="38">
        <v>2.2391304347826089</v>
      </c>
      <c r="E5" s="9">
        <v>2.2369565217391307</v>
      </c>
      <c r="F5" s="39">
        <v>0</v>
      </c>
      <c r="G5" s="38">
        <v>1.0434782608695652</v>
      </c>
      <c r="H5" s="10">
        <v>1.2173913043478262</v>
      </c>
      <c r="I5" s="10">
        <v>4.6956521739130439</v>
      </c>
      <c r="J5" s="53">
        <v>9.304347826086957</v>
      </c>
      <c r="K5" s="38">
        <f>'[1]PR 8'!$G$4</f>
        <v>0.65217391304347827</v>
      </c>
      <c r="L5" s="8">
        <v>0</v>
      </c>
      <c r="M5" s="8">
        <v>0</v>
      </c>
      <c r="N5" s="10">
        <v>0.34782608695652173</v>
      </c>
      <c r="O5" s="53">
        <v>0.21739130434782608</v>
      </c>
    </row>
    <row r="6" spans="1:16" ht="15.6" customHeight="1" thickBot="1" x14ac:dyDescent="0.35">
      <c r="A6" s="83"/>
      <c r="B6" s="73" t="s">
        <v>7</v>
      </c>
      <c r="C6" s="77">
        <v>4</v>
      </c>
      <c r="D6" s="38">
        <v>1.25</v>
      </c>
      <c r="E6" s="9">
        <v>1.25</v>
      </c>
      <c r="F6" s="39">
        <v>0</v>
      </c>
      <c r="G6" s="38">
        <v>6.5</v>
      </c>
      <c r="H6" s="10">
        <v>4.75</v>
      </c>
      <c r="I6" s="10">
        <v>1.25</v>
      </c>
      <c r="J6" s="53">
        <v>28.25</v>
      </c>
      <c r="K6" s="38">
        <v>0</v>
      </c>
      <c r="L6" s="8">
        <v>0</v>
      </c>
      <c r="M6" s="12">
        <v>0.25</v>
      </c>
      <c r="N6" s="10">
        <v>0</v>
      </c>
      <c r="O6" s="53">
        <v>0</v>
      </c>
    </row>
    <row r="7" spans="1:16" ht="15.6" customHeight="1" thickBot="1" x14ac:dyDescent="0.35">
      <c r="A7" s="84"/>
      <c r="B7" s="74" t="s">
        <v>8</v>
      </c>
      <c r="C7" s="78">
        <v>15</v>
      </c>
      <c r="D7" s="40">
        <v>1.0266666666666666</v>
      </c>
      <c r="E7" s="11">
        <v>1.0266666666666666</v>
      </c>
      <c r="F7" s="41">
        <v>0</v>
      </c>
      <c r="G7" s="40">
        <v>0.33333333333333331</v>
      </c>
      <c r="H7" s="12">
        <v>0.46666666666666667</v>
      </c>
      <c r="I7" s="12">
        <v>149.80000000000001</v>
      </c>
      <c r="J7" s="54">
        <v>20.6</v>
      </c>
      <c r="K7" s="40">
        <v>0</v>
      </c>
      <c r="L7" s="8">
        <v>0</v>
      </c>
      <c r="M7" s="8">
        <v>0</v>
      </c>
      <c r="N7" s="12">
        <v>1.1333333333333333</v>
      </c>
      <c r="O7" s="54">
        <v>0.13333333333333333</v>
      </c>
    </row>
    <row r="8" spans="1:16" ht="15.6" customHeight="1" x14ac:dyDescent="0.3">
      <c r="A8" s="82" t="s">
        <v>30</v>
      </c>
      <c r="B8" s="72" t="s">
        <v>9</v>
      </c>
      <c r="C8" s="79">
        <v>12</v>
      </c>
      <c r="D8" s="42">
        <v>3.4541666666666671</v>
      </c>
      <c r="E8" s="6">
        <v>3.4541666666666671</v>
      </c>
      <c r="F8" s="43">
        <v>8.3333333333333329E-2</v>
      </c>
      <c r="G8" s="42">
        <v>0.75</v>
      </c>
      <c r="H8" s="7">
        <v>0.75</v>
      </c>
      <c r="I8" s="7">
        <v>8.5</v>
      </c>
      <c r="J8" s="55">
        <v>0.83333333333333337</v>
      </c>
      <c r="K8" s="42">
        <v>0</v>
      </c>
      <c r="L8" s="8">
        <v>0</v>
      </c>
      <c r="M8" s="8">
        <v>0</v>
      </c>
      <c r="N8" s="7">
        <v>0.5</v>
      </c>
      <c r="O8" s="55">
        <v>0.16666666666666666</v>
      </c>
    </row>
    <row r="9" spans="1:16" ht="15.6" customHeight="1" x14ac:dyDescent="0.3">
      <c r="A9" s="83"/>
      <c r="B9" s="73" t="s">
        <v>10</v>
      </c>
      <c r="C9" s="77">
        <v>20</v>
      </c>
      <c r="D9" s="38">
        <v>1.0435000000000001</v>
      </c>
      <c r="E9" s="9">
        <v>1.0435000000000001</v>
      </c>
      <c r="F9" s="39">
        <v>4.1499999999999995E-2</v>
      </c>
      <c r="G9" s="38">
        <v>1.1000000000000001</v>
      </c>
      <c r="H9" s="10">
        <v>0.7</v>
      </c>
      <c r="I9" s="10">
        <v>159.25</v>
      </c>
      <c r="J9" s="53">
        <v>11.65</v>
      </c>
      <c r="K9" s="38">
        <v>0</v>
      </c>
      <c r="L9" s="8">
        <v>0</v>
      </c>
      <c r="M9" s="8">
        <v>0</v>
      </c>
      <c r="N9" s="10">
        <v>0.05</v>
      </c>
      <c r="O9" s="53">
        <v>0.45</v>
      </c>
    </row>
    <row r="10" spans="1:16" ht="15.6" customHeight="1" x14ac:dyDescent="0.3">
      <c r="A10" s="83"/>
      <c r="B10" s="73" t="s">
        <v>23</v>
      </c>
      <c r="C10" s="77">
        <v>7</v>
      </c>
      <c r="D10" s="38">
        <v>2.2142857142857144</v>
      </c>
      <c r="E10" s="9">
        <v>2.2142857142857144</v>
      </c>
      <c r="F10" s="39">
        <v>0.2857142857142857</v>
      </c>
      <c r="G10" s="38">
        <v>1</v>
      </c>
      <c r="H10" s="10">
        <v>0.42857142857142855</v>
      </c>
      <c r="I10" s="10">
        <v>536.28571428571433</v>
      </c>
      <c r="J10" s="53">
        <v>2.8571428571428572</v>
      </c>
      <c r="K10" s="38">
        <v>0</v>
      </c>
      <c r="L10" s="8">
        <v>0</v>
      </c>
      <c r="M10" s="8">
        <v>0</v>
      </c>
      <c r="N10" s="10">
        <v>1.4285714285714286</v>
      </c>
      <c r="O10" s="53">
        <v>0.2857142857142857</v>
      </c>
    </row>
    <row r="11" spans="1:16" ht="15.6" customHeight="1" thickBot="1" x14ac:dyDescent="0.35">
      <c r="A11" s="84"/>
      <c r="B11" s="74" t="s">
        <v>11</v>
      </c>
      <c r="C11" s="78">
        <v>4</v>
      </c>
      <c r="D11" s="40">
        <v>0</v>
      </c>
      <c r="E11" s="11">
        <v>0</v>
      </c>
      <c r="F11" s="41">
        <v>0</v>
      </c>
      <c r="G11" s="40">
        <v>0.5</v>
      </c>
      <c r="H11" s="12">
        <v>0.25</v>
      </c>
      <c r="I11" s="12">
        <v>0</v>
      </c>
      <c r="J11" s="54">
        <v>0</v>
      </c>
      <c r="K11" s="40">
        <v>0</v>
      </c>
      <c r="L11" s="8">
        <v>0</v>
      </c>
      <c r="M11" s="8">
        <v>0</v>
      </c>
      <c r="N11" s="12">
        <v>0.75</v>
      </c>
      <c r="O11" s="54">
        <v>0.75</v>
      </c>
    </row>
    <row r="12" spans="1:16" ht="15.6" customHeight="1" x14ac:dyDescent="0.3">
      <c r="A12" s="85" t="s">
        <v>31</v>
      </c>
      <c r="B12" s="72" t="s">
        <v>24</v>
      </c>
      <c r="C12" s="80">
        <v>11</v>
      </c>
      <c r="D12" s="44">
        <v>0.90181818181818185</v>
      </c>
      <c r="E12" s="13">
        <v>0.90181818181818185</v>
      </c>
      <c r="F12" s="45">
        <v>0</v>
      </c>
      <c r="G12" s="44">
        <v>0.45454545454545453</v>
      </c>
      <c r="H12" s="14">
        <v>0.45454545454545453</v>
      </c>
      <c r="I12" s="15">
        <v>8.545454545454545</v>
      </c>
      <c r="J12" s="56">
        <v>9.9090909090909083</v>
      </c>
      <c r="K12" s="61">
        <v>0</v>
      </c>
      <c r="L12" s="8">
        <v>0</v>
      </c>
      <c r="M12" s="8">
        <v>0</v>
      </c>
      <c r="N12" s="14">
        <v>0</v>
      </c>
      <c r="O12" s="62">
        <v>0</v>
      </c>
    </row>
    <row r="13" spans="1:16" ht="15.6" customHeight="1" x14ac:dyDescent="0.3">
      <c r="A13" s="85"/>
      <c r="B13" s="73" t="s">
        <v>25</v>
      </c>
      <c r="C13" s="77">
        <v>11</v>
      </c>
      <c r="D13" s="46">
        <v>0.6</v>
      </c>
      <c r="E13" s="16">
        <v>0.6</v>
      </c>
      <c r="F13" s="47">
        <v>0</v>
      </c>
      <c r="G13" s="46">
        <v>0.36363636363636365</v>
      </c>
      <c r="H13" s="17">
        <v>0.27272727272727271</v>
      </c>
      <c r="I13" s="10">
        <v>173.81818181818181</v>
      </c>
      <c r="J13" s="53">
        <v>14.181818181818182</v>
      </c>
      <c r="K13" s="38">
        <v>0</v>
      </c>
      <c r="L13" s="8">
        <v>0</v>
      </c>
      <c r="M13" s="8">
        <v>0</v>
      </c>
      <c r="N13" s="17">
        <v>0.22727272727272727</v>
      </c>
      <c r="O13" s="63">
        <v>0</v>
      </c>
    </row>
    <row r="14" spans="1:16" ht="15.6" customHeight="1" x14ac:dyDescent="0.3">
      <c r="A14" s="85"/>
      <c r="B14" s="73" t="s">
        <v>26</v>
      </c>
      <c r="C14" s="77">
        <v>5</v>
      </c>
      <c r="D14" s="46">
        <v>2.6659999999999999</v>
      </c>
      <c r="E14" s="16">
        <v>2.6659999999999999</v>
      </c>
      <c r="F14" s="47">
        <v>0.2</v>
      </c>
      <c r="G14" s="46">
        <v>0.2</v>
      </c>
      <c r="H14" s="17">
        <v>0.4</v>
      </c>
      <c r="I14" s="10">
        <v>0</v>
      </c>
      <c r="J14" s="53">
        <v>0</v>
      </c>
      <c r="K14" s="38">
        <v>0</v>
      </c>
      <c r="L14" s="8">
        <v>0</v>
      </c>
      <c r="M14" s="8">
        <v>0</v>
      </c>
      <c r="N14" s="17">
        <v>0.5</v>
      </c>
      <c r="O14" s="63">
        <v>0</v>
      </c>
    </row>
    <row r="15" spans="1:16" ht="15.6" customHeight="1" x14ac:dyDescent="0.3">
      <c r="A15" s="85"/>
      <c r="B15" s="73" t="s">
        <v>27</v>
      </c>
      <c r="C15" s="77">
        <v>4</v>
      </c>
      <c r="D15" s="46">
        <v>3.125</v>
      </c>
      <c r="E15" s="16">
        <v>3.125</v>
      </c>
      <c r="F15" s="47">
        <v>0</v>
      </c>
      <c r="G15" s="46">
        <v>0.5</v>
      </c>
      <c r="H15" s="17">
        <v>2</v>
      </c>
      <c r="I15" s="10">
        <v>32.5</v>
      </c>
      <c r="J15" s="53">
        <v>3.75</v>
      </c>
      <c r="K15" s="38">
        <v>0</v>
      </c>
      <c r="L15" s="8">
        <v>0</v>
      </c>
      <c r="M15" s="8">
        <v>0</v>
      </c>
      <c r="N15" s="17">
        <v>0</v>
      </c>
      <c r="O15" s="63">
        <v>0</v>
      </c>
    </row>
    <row r="16" spans="1:16" ht="15.6" customHeight="1" thickBot="1" x14ac:dyDescent="0.35">
      <c r="A16" s="86"/>
      <c r="B16" s="75" t="s">
        <v>28</v>
      </c>
      <c r="C16" s="81">
        <v>10</v>
      </c>
      <c r="D16" s="48">
        <v>0.3</v>
      </c>
      <c r="E16" s="49">
        <v>0.3</v>
      </c>
      <c r="F16" s="50">
        <v>0</v>
      </c>
      <c r="G16" s="48">
        <v>0.5</v>
      </c>
      <c r="H16" s="57">
        <v>0.3</v>
      </c>
      <c r="I16" s="58">
        <v>100.7</v>
      </c>
      <c r="J16" s="59">
        <v>8.1</v>
      </c>
      <c r="K16" s="64">
        <v>0</v>
      </c>
      <c r="L16" s="65">
        <v>0</v>
      </c>
      <c r="M16" s="65">
        <v>0</v>
      </c>
      <c r="N16" s="57">
        <v>0</v>
      </c>
      <c r="O16" s="66">
        <v>0</v>
      </c>
    </row>
    <row r="17" spans="1:16" s="18" customFormat="1" ht="15" thickBot="1" x14ac:dyDescent="0.35">
      <c r="A17" s="100"/>
      <c r="B17" s="67" t="s">
        <v>12</v>
      </c>
      <c r="C17" s="68">
        <v>133</v>
      </c>
      <c r="D17" s="69">
        <v>2</v>
      </c>
      <c r="E17" s="69">
        <v>2</v>
      </c>
      <c r="F17" s="69">
        <v>9.7744360902255634E-2</v>
      </c>
      <c r="G17" s="69">
        <v>1.1278195488721805</v>
      </c>
      <c r="H17" s="69">
        <v>0.45112781954887216</v>
      </c>
      <c r="I17" s="69">
        <v>90.225563909774436</v>
      </c>
      <c r="J17" s="69">
        <v>1.1278195488721805</v>
      </c>
      <c r="K17" s="69">
        <v>0</v>
      </c>
      <c r="L17" s="69">
        <v>0</v>
      </c>
      <c r="M17" s="69">
        <v>0</v>
      </c>
      <c r="N17" s="70">
        <v>0.15037593984962405</v>
      </c>
      <c r="O17" s="71">
        <v>0.22556390977443608</v>
      </c>
      <c r="P17" s="19"/>
    </row>
    <row r="18" spans="1:16" x14ac:dyDescent="0.3">
      <c r="A18" s="99"/>
      <c r="E18" s="27"/>
    </row>
    <row r="19" spans="1:16" hidden="1" x14ac:dyDescent="0.3">
      <c r="B19" s="20"/>
      <c r="C19" s="29"/>
    </row>
    <row r="20" spans="1:16" hidden="1" x14ac:dyDescent="0.3">
      <c r="B20" s="21"/>
    </row>
    <row r="21" spans="1:16" hidden="1" x14ac:dyDescent="0.3">
      <c r="B21" s="22"/>
      <c r="C21" s="30"/>
    </row>
    <row r="22" spans="1:16" hidden="1" x14ac:dyDescent="0.3"/>
  </sheetData>
  <mergeCells count="9">
    <mergeCell ref="A12:A16"/>
    <mergeCell ref="A4:A7"/>
    <mergeCell ref="A8:A11"/>
    <mergeCell ref="B1:O1"/>
    <mergeCell ref="D2:F2"/>
    <mergeCell ref="G2:J2"/>
    <mergeCell ref="K2:O2"/>
    <mergeCell ref="A2:A3"/>
    <mergeCell ref="A17:A18"/>
  </mergeCells>
  <conditionalFormatting sqref="D4:D16">
    <cfRule type="colorScale" priority="154">
      <colorScale>
        <cfvo type="min"/>
        <cfvo type="formula" val="$D$17/2"/>
        <cfvo type="formula" val="$D$17"/>
        <color rgb="FFFF0000"/>
        <color rgb="FFFFFF00"/>
        <color rgb="FF00B050"/>
      </colorScale>
    </cfRule>
  </conditionalFormatting>
  <conditionalFormatting sqref="E4:E16">
    <cfRule type="colorScale" priority="155">
      <colorScale>
        <cfvo type="min"/>
        <cfvo type="formula" val="$E$17/2"/>
        <cfvo type="formula" val="$E$17"/>
        <color rgb="FFFF0000"/>
        <color rgb="FFFFFF00"/>
        <color rgb="FF00B050"/>
      </colorScale>
    </cfRule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6">
    <cfRule type="colorScale" priority="158">
      <colorScale>
        <cfvo type="min"/>
        <cfvo type="formula" val="$F$17/2"/>
        <cfvo type="formula" val="$F$17"/>
        <color rgb="FFFF0000"/>
        <color rgb="FFFFFF00"/>
        <color rgb="FF00B050"/>
      </colorScale>
    </cfRule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6">
    <cfRule type="colorScale" priority="161">
      <colorScale>
        <cfvo type="min"/>
        <cfvo type="formula" val="$G$17/2"/>
        <cfvo type="formula" val="$G$17"/>
        <color rgb="FFFF0000"/>
        <color rgb="FFFFFF00"/>
        <color rgb="FF00B050"/>
      </colorScale>
    </cfRule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16">
    <cfRule type="colorScale" priority="164">
      <colorScale>
        <cfvo type="min"/>
        <cfvo type="formula" val="$H$17/2"/>
        <cfvo type="formula" val="$H$17"/>
        <color rgb="FFFF0000"/>
        <color rgb="FFFFFF00"/>
        <color rgb="FF00B050"/>
      </colorScale>
    </cfRule>
  </conditionalFormatting>
  <conditionalFormatting sqref="I4:I16">
    <cfRule type="colorScale" priority="165">
      <colorScale>
        <cfvo type="min"/>
        <cfvo type="formula" val="$I$17/2"/>
        <cfvo type="formula" val="$I$17"/>
        <color rgb="FFFF0000"/>
        <color rgb="FFFFFF00"/>
        <color rgb="FF00B050"/>
      </colorScale>
    </cfRule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16">
    <cfRule type="colorScale" priority="167">
      <colorScale>
        <cfvo type="min"/>
        <cfvo type="formula" val="$J$17/2"/>
        <cfvo type="formula" val="$J$17"/>
        <color rgb="FFFF0000"/>
        <color rgb="FFFFFF00"/>
        <color rgb="FF00B050"/>
      </colorScale>
    </cfRule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16">
    <cfRule type="colorScale" priority="169">
      <colorScale>
        <cfvo type="min"/>
        <cfvo type="formula" val="0.65"/>
        <cfvo type="formula" val="0.65"/>
        <color rgb="FFFF0000"/>
        <color rgb="FFFFEB84"/>
        <color rgb="FF00B050"/>
      </colorScale>
    </cfRule>
  </conditionalFormatting>
  <conditionalFormatting sqref="N4:N16">
    <cfRule type="colorScale" priority="171">
      <colorScale>
        <cfvo type="min"/>
        <cfvo type="formula" val="$N$17/2"/>
        <cfvo type="formula" val="$N$17"/>
        <color rgb="FFFF0000"/>
        <color rgb="FFFFFF00"/>
        <color rgb="FF00B050"/>
      </colorScale>
    </cfRule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16">
    <cfRule type="colorScale" priority="174">
      <colorScale>
        <cfvo type="min"/>
        <cfvo type="formula" val="$O$17/2"/>
        <cfvo type="formula" val="$O$17"/>
        <color rgb="FFFF0000"/>
        <color rgb="FFFFFF00"/>
        <color rgb="FF00B050"/>
      </colorScale>
    </cfRule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L4:L16">
    <cfRule type="colorScale" priority="5">
      <colorScale>
        <cfvo type="min"/>
        <cfvo type="formula" val="0.65"/>
        <cfvo type="formula" val="0.65"/>
        <color rgb="FFFF0000"/>
        <color rgb="FFFFEB84"/>
        <color rgb="FF00B050"/>
      </colorScale>
    </cfRule>
  </conditionalFormatting>
  <conditionalFormatting sqref="M4:M5 M7:M16">
    <cfRule type="colorScale" priority="4">
      <colorScale>
        <cfvo type="min"/>
        <cfvo type="formula" val="0.65"/>
        <cfvo type="formula" val="0.65"/>
        <color rgb="FFFF0000"/>
        <color rgb="FFFFEB84"/>
        <color rgb="FF00B050"/>
      </colorScale>
    </cfRule>
  </conditionalFormatting>
  <conditionalFormatting sqref="M6">
    <cfRule type="colorScale" priority="1">
      <colorScale>
        <cfvo type="min"/>
        <cfvo type="formula" val="$N$17/2"/>
        <cfvo type="formula" val="$N$17"/>
        <color rgb="FFFF0000"/>
        <color rgb="FFFFFF00"/>
        <color rgb="FF00B050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8" scale="60" orientation="landscape" r:id="rId1"/>
  <colBreaks count="1" manualBreakCount="1">
    <brk id="7" max="18" man="1"/>
  </colBreak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Res, Cap, Product</vt:lpstr>
      <vt:lpstr>'Res, Cap, Product'!Print_Area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Devari, Aalakh (SI EA R&amp;D AU SDA)</cp:lastModifiedBy>
  <dcterms:created xsi:type="dcterms:W3CDTF">2026-04-08T13:52:54Z</dcterms:created>
  <dcterms:modified xsi:type="dcterms:W3CDTF">2026-04-23T08:52:42Z</dcterms:modified>
</cp:coreProperties>
</file>