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9" documentId="8_{BE2A84F2-78F7-4FBF-B462-89D3272FCE9D}" xr6:coauthVersionLast="47" xr6:coauthVersionMax="47" xr10:uidLastSave="{9AEB69D2-CE8D-4F27-B879-7A064FBA5AAE}"/>
  <bookViews>
    <workbookView xWindow="-110" yWindow="-110" windowWidth="19420" windowHeight="10300" xr2:uid="{462AB6D2-C8E4-47A1-AF79-F15809A5475A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F16" i="1"/>
  <c r="J10" i="1"/>
  <c r="I10" i="1"/>
  <c r="K9" i="1"/>
  <c r="J9" i="1"/>
  <c r="I9" i="1"/>
  <c r="J8" i="1"/>
  <c r="I8" i="1"/>
  <c r="F8" i="1"/>
  <c r="K7" i="1"/>
  <c r="J7" i="1"/>
  <c r="I7" i="1"/>
  <c r="F7" i="1"/>
  <c r="K5" i="1"/>
  <c r="J5" i="1"/>
  <c r="I5" i="1"/>
  <c r="F4" i="1"/>
</calcChain>
</file>

<file path=xl/sharedStrings.xml><?xml version="1.0" encoding="utf-8"?>
<sst xmlns="http://schemas.openxmlformats.org/spreadsheetml/2006/main" count="47" uniqueCount="31">
  <si>
    <t>KPI by $</t>
  </si>
  <si>
    <t>Recognition and Reputation</t>
  </si>
  <si>
    <t>Society Impact &amp; Inclusion</t>
  </si>
  <si>
    <t>Breeding</t>
  </si>
  <si>
    <t>Genebanks</t>
  </si>
  <si>
    <t>Seed System</t>
  </si>
  <si>
    <t>Plant Health</t>
  </si>
  <si>
    <t>Farming Systems Agronomy</t>
  </si>
  <si>
    <t>Mechanization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</si>
  <si>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</si>
  <si>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</si>
  <si>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</si>
  <si>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</si>
  <si>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</si>
  <si>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</si>
  <si>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</si>
  <si>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</si>
  <si>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</si>
  <si>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</si>
  <si>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</si>
  <si>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</si>
  <si>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</si>
  <si>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</si>
  <si>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</si>
  <si>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</si>
  <si>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</si>
  <si>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Biotechnology</t>
  </si>
  <si>
    <t>IITA Program</t>
  </si>
  <si>
    <t>N/A</t>
  </si>
  <si>
    <t>USD (million)</t>
  </si>
  <si>
    <t>per Program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</si>
</sst>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_(* #,##0.000_);_(* \(#,##0.000\);_(* &quot;-&quot;??_);_(@_)"/>
    <numFmt numFmtId="166" formatCode="_(* #,##0.0_);_(* \(#,##0.0\);_(* &quot;-&quot;??_);_(@_)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6">
    <xf numFmtId="0" fontId="0" fillId="0" borderId="0" xfId="0"/>
    <xf numFmtId="164" fontId="0" fillId="0" borderId="0" xfId="0" applyNumberFormat="1"/>
    <xf numFmtId="164" fontId="6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7" fillId="0" borderId="0" xfId="0" applyFont="1"/>
    <xf numFmtId="0" fontId="2" fillId="0" borderId="0" xfId="0" applyFont="1" applyAlignment="1">
      <alignment horizontal="left"/>
    </xf>
    <xf numFmtId="164" fontId="8" fillId="0" borderId="0" xfId="0" applyNumberFormat="1" applyFont="1"/>
    <xf numFmtId="0" fontId="8" fillId="0" borderId="0" xfId="0" applyFont="1"/>
    <xf numFmtId="0" fontId="5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4" fontId="10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/>
    <xf numFmtId="0" fontId="2" fillId="0" borderId="0" xfId="0" applyFont="1" applyAlignment="1">
      <alignment horizontal="center"/>
    </xf>
    <xf numFmtId="0" fontId="12" fillId="0" borderId="0" xfId="0" applyFont="1" applyAlignment="1">
      <alignment vertical="center"/>
    </xf>
    <xf numFmtId="0" fontId="9" fillId="3" borderId="21" xfId="0" applyFont="1" applyFill="1" applyBorder="1" applyAlignment="1">
      <alignment horizontal="left"/>
    </xf>
    <xf numFmtId="166" fontId="2" fillId="3" borderId="7" xfId="1" applyNumberFormat="1" applyFont="1" applyFill="1" applyBorder="1" applyAlignment="1"/>
    <xf numFmtId="0" fontId="7" fillId="0" borderId="0" xfId="0" applyFont="1" applyAlignment="1">
      <alignment vertical="top"/>
    </xf>
    <xf numFmtId="0" fontId="4" fillId="0" borderId="25" xfId="0" applyFont="1" applyBorder="1" applyAlignment="1">
      <alignment horizontal="left" textRotation="90" wrapText="1" readingOrder="1"/>
    </xf>
    <xf numFmtId="2" fontId="2" fillId="0" borderId="31" xfId="0" applyNumberFormat="1" applyFont="1" applyBorder="1" applyAlignment="1">
      <alignment horizontal="right"/>
    </xf>
    <xf numFmtId="2" fontId="2" fillId="0" borderId="8" xfId="0" applyNumberFormat="1" applyFont="1" applyBorder="1" applyAlignment="1">
      <alignment horizontal="right"/>
    </xf>
    <xf numFmtId="2" fontId="2" fillId="0" borderId="19" xfId="0" applyNumberFormat="1" applyFont="1" applyBorder="1" applyAlignment="1">
      <alignment horizontal="right"/>
    </xf>
    <xf numFmtId="2" fontId="2" fillId="0" borderId="32" xfId="2" applyNumberFormat="1" applyFont="1" applyBorder="1" applyAlignment="1">
      <alignment horizontal="right"/>
    </xf>
    <xf numFmtId="2" fontId="2" fillId="0" borderId="32" xfId="0" applyNumberFormat="1" applyFont="1" applyBorder="1" applyAlignment="1">
      <alignment horizontal="right"/>
    </xf>
    <xf numFmtId="2" fontId="2" fillId="0" borderId="6" xfId="0" applyNumberFormat="1" applyFont="1" applyBorder="1" applyAlignment="1">
      <alignment horizontal="right"/>
    </xf>
    <xf numFmtId="2" fontId="2" fillId="0" borderId="14" xfId="0" applyNumberFormat="1" applyFont="1" applyBorder="1" applyAlignment="1">
      <alignment horizontal="right"/>
    </xf>
    <xf numFmtId="2" fontId="2" fillId="0" borderId="9" xfId="2" applyNumberFormat="1" applyFont="1" applyBorder="1" applyAlignment="1">
      <alignment horizontal="right"/>
    </xf>
    <xf numFmtId="2" fontId="2" fillId="0" borderId="9" xfId="0" applyNumberFormat="1" applyFont="1" applyBorder="1" applyAlignment="1">
      <alignment horizontal="right"/>
    </xf>
    <xf numFmtId="2" fontId="2" fillId="0" borderId="10" xfId="0" applyNumberFormat="1" applyFont="1" applyBorder="1" applyAlignment="1">
      <alignment horizontal="right"/>
    </xf>
    <xf numFmtId="2" fontId="2" fillId="0" borderId="15" xfId="0" applyNumberFormat="1" applyFont="1" applyBorder="1" applyAlignment="1">
      <alignment horizontal="right"/>
    </xf>
    <xf numFmtId="2" fontId="2" fillId="0" borderId="14" xfId="2" applyNumberFormat="1" applyFont="1" applyBorder="1" applyAlignment="1">
      <alignment horizontal="right"/>
    </xf>
    <xf numFmtId="43" fontId="9" fillId="3" borderId="22" xfId="1" applyFont="1" applyFill="1" applyBorder="1" applyAlignment="1">
      <alignment horizontal="center"/>
    </xf>
    <xf numFmtId="164" fontId="13" fillId="3" borderId="22" xfId="0" applyNumberFormat="1" applyFont="1" applyFill="1" applyBorder="1" applyAlignment="1">
      <alignment horizontal="right"/>
    </xf>
    <xf numFmtId="165" fontId="9" fillId="3" borderId="22" xfId="1" applyNumberFormat="1" applyFont="1" applyFill="1" applyBorder="1" applyAlignment="1">
      <alignment horizontal="center"/>
    </xf>
    <xf numFmtId="165" fontId="9" fillId="3" borderId="4" xfId="1" applyNumberFormat="1" applyFont="1" applyFill="1" applyBorder="1" applyAlignment="1">
      <alignment horizontal="center"/>
    </xf>
    <xf numFmtId="166" fontId="4" fillId="0" borderId="26" xfId="1" applyNumberFormat="1" applyFont="1" applyBorder="1" applyAlignment="1">
      <alignment vertical="center" wrapText="1"/>
    </xf>
    <xf numFmtId="166" fontId="4" fillId="0" borderId="27" xfId="1" applyNumberFormat="1" applyFont="1" applyBorder="1" applyAlignment="1">
      <alignment vertical="center" wrapText="1"/>
    </xf>
    <xf numFmtId="166" fontId="4" fillId="0" borderId="28" xfId="1" applyNumberFormat="1" applyFont="1" applyBorder="1" applyAlignment="1">
      <alignment vertical="center" wrapText="1"/>
    </xf>
    <xf numFmtId="166" fontId="4" fillId="0" borderId="34" xfId="1" applyNumberFormat="1" applyFont="1" applyBorder="1" applyAlignment="1">
      <alignment vertical="center" wrapText="1"/>
    </xf>
    <xf numFmtId="2" fontId="2" fillId="0" borderId="39" xfId="0" applyNumberFormat="1" applyFont="1" applyBorder="1" applyAlignment="1">
      <alignment horizontal="right"/>
    </xf>
    <xf numFmtId="2" fontId="2" fillId="0" borderId="40" xfId="0" applyNumberFormat="1" applyFont="1" applyBorder="1" applyAlignment="1">
      <alignment horizontal="right"/>
    </xf>
    <xf numFmtId="2" fontId="2" fillId="0" borderId="40" xfId="2" applyNumberFormat="1" applyFont="1" applyBorder="1" applyAlignment="1">
      <alignment horizontal="right"/>
    </xf>
    <xf numFmtId="2" fontId="2" fillId="0" borderId="41" xfId="0" applyNumberFormat="1" applyFont="1" applyBorder="1" applyAlignment="1">
      <alignment horizontal="right"/>
    </xf>
    <xf numFmtId="0" fontId="4" fillId="0" borderId="22" xfId="0" applyFont="1" applyBorder="1" applyAlignment="1">
      <alignment horizontal="left" textRotation="90" wrapText="1" readingOrder="1"/>
    </xf>
    <xf numFmtId="0" fontId="4" fillId="0" borderId="4" xfId="0" applyFont="1" applyBorder="1" applyAlignment="1">
      <alignment horizontal="left" textRotation="90" wrapText="1" readingOrder="1"/>
    </xf>
    <xf numFmtId="0" fontId="9" fillId="2" borderId="16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left" vertical="top" readingOrder="1"/>
    </xf>
    <xf numFmtId="0" fontId="4" fillId="0" borderId="42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9" fillId="2" borderId="33" xfId="0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textRotation="90" wrapText="1" readingOrder="1"/>
    </xf>
    <xf numFmtId="0" fontId="9" fillId="2" borderId="1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9" fillId="2" borderId="37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 wrapText="1"/>
    </xf>
    <xf numFmtId="0" fontId="9" fillId="2" borderId="29" xfId="0" applyFont="1" applyFill="1" applyBorder="1" applyAlignment="1">
      <alignment horizontal="center" vertical="center" wrapText="1"/>
    </xf>
    <xf numFmtId="0" fontId="9" fillId="2" borderId="3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9" fillId="0" borderId="30" xfId="0" applyFont="1" applyBorder="1" applyAlignment="1">
      <alignment horizontal="center" vertical="top"/>
    </xf>
    <xf numFmtId="0" fontId="9" fillId="0" borderId="36" xfId="0" applyFont="1" applyBorder="1" applyAlignment="1">
      <alignment horizontal="center" vertical="top"/>
    </xf>
    <xf numFmtId="0" fontId="9" fillId="2" borderId="17" xfId="0" applyFont="1" applyFill="1" applyBorder="1" applyAlignment="1">
      <alignment horizontal="center" vertical="center" textRotation="90" wrapText="1"/>
    </xf>
    <xf numFmtId="0" fontId="9" fillId="2" borderId="18" xfId="0" applyFont="1" applyFill="1" applyBorder="1" applyAlignment="1">
      <alignment horizontal="center" vertical="center" textRotation="90" wrapText="1"/>
    </xf>
    <xf numFmtId="0" fontId="9" fillId="2" borderId="11" xfId="0" applyFont="1" applyFill="1" applyBorder="1" applyAlignment="1">
      <alignment horizontal="center" vertical="center" textRotation="90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KPI%20data%20for%20IITA%20for%20AI%20upload.xlsx" TargetMode="External"/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V18">
            <v>0.2929459683015237</v>
          </cell>
          <cell r="AB18">
            <v>0.14081259645953281</v>
          </cell>
          <cell r="AD18">
            <v>0.38854324239787086</v>
          </cell>
          <cell r="AT18">
            <v>0.17242666505128171</v>
          </cell>
        </row>
        <row r="21">
          <cell r="X21">
            <v>0.15722751515287642</v>
          </cell>
          <cell r="AB21">
            <v>0.14081259645953281</v>
          </cell>
          <cell r="AD21">
            <v>0.12951441413262363</v>
          </cell>
          <cell r="AF21">
            <v>0.32591419766241464</v>
          </cell>
          <cell r="AH21">
            <v>0.55694906946705569</v>
          </cell>
          <cell r="AT21">
            <v>0.17242666505128171</v>
          </cell>
        </row>
        <row r="22">
          <cell r="X22">
            <v>7.8613757576438209E-2</v>
          </cell>
          <cell r="AB22">
            <v>9.3875064306355213E-2</v>
          </cell>
          <cell r="AD22">
            <v>0.12951441413262363</v>
          </cell>
          <cell r="AF22">
            <v>0.32591419766241464</v>
          </cell>
          <cell r="AH22">
            <v>0.6961863368338197</v>
          </cell>
        </row>
        <row r="23">
          <cell r="X23">
            <v>0.15722751515287642</v>
          </cell>
          <cell r="AB23">
            <v>4.6937532153177607E-2</v>
          </cell>
          <cell r="AF23">
            <v>8.147854941560366E-2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52AA3-1E8A-41A7-8E84-C9E5096ACF8A}">
  <sheetPr>
    <tabColor rgb="FFFFFF00"/>
    <pageSetUpPr fitToPage="1"/>
  </sheetPr>
  <dimension ref="A1:AB23"/>
  <sheetViews>
    <sheetView tabSelected="1" zoomScale="115" zoomScaleNormal="115" zoomScaleSheetLayoutView="75" workbookViewId="0">
      <selection activeCell="N3" sqref="N3"/>
    </sheetView>
  </sheetViews>
  <sheetFormatPr defaultRowHeight="14.5" x14ac:dyDescent="0.35"/>
  <cols>
    <col min="1" max="1" width="7.36328125" style="15" customWidth="1"/>
    <col min="2" max="2" width="37.1796875" style="4" customWidth="1"/>
    <col min="3" max="3" width="5.36328125" style="4" bestFit="1" customWidth="1"/>
    <col min="4" max="4" width="7.08984375" style="12" customWidth="1"/>
    <col min="5" max="11" width="7.08984375" style="4" customWidth="1"/>
    <col min="12" max="14" width="8.1796875" style="1" customWidth="1"/>
  </cols>
  <sheetData>
    <row r="1" spans="1:15" s="14" customFormat="1" ht="15" thickBot="1" x14ac:dyDescent="0.4">
      <c r="A1" s="13"/>
      <c r="B1" s="56" t="s">
        <v>0</v>
      </c>
      <c r="C1" s="57"/>
      <c r="D1" s="58"/>
      <c r="E1" s="58"/>
      <c r="F1" s="58"/>
      <c r="G1" s="58"/>
      <c r="H1" s="58"/>
      <c r="I1" s="59"/>
      <c r="J1" s="59"/>
      <c r="K1" s="60"/>
    </row>
    <row r="2" spans="1:15" s="16" customFormat="1" ht="18" customHeight="1" thickBot="1" x14ac:dyDescent="0.4">
      <c r="A2" s="69"/>
      <c r="B2" s="47" t="s">
        <v>27</v>
      </c>
      <c r="C2" s="54"/>
      <c r="D2" s="61" t="s">
        <v>1</v>
      </c>
      <c r="E2" s="62"/>
      <c r="F2" s="62"/>
      <c r="G2" s="62"/>
      <c r="H2" s="63"/>
      <c r="I2" s="64" t="s">
        <v>2</v>
      </c>
      <c r="J2" s="65"/>
      <c r="K2" s="66"/>
    </row>
    <row r="3" spans="1:15" s="3" customFormat="1" ht="117.5" customHeight="1" thickBot="1" x14ac:dyDescent="0.3">
      <c r="A3" s="70"/>
      <c r="B3" s="48"/>
      <c r="C3" s="20" t="s">
        <v>29</v>
      </c>
      <c r="D3" s="55" t="s">
        <v>9</v>
      </c>
      <c r="E3" s="45" t="s">
        <v>10</v>
      </c>
      <c r="F3" s="45" t="s">
        <v>11</v>
      </c>
      <c r="G3" s="45" t="s">
        <v>12</v>
      </c>
      <c r="H3" s="46" t="s">
        <v>13</v>
      </c>
      <c r="I3" s="55" t="s">
        <v>14</v>
      </c>
      <c r="J3" s="45" t="s">
        <v>15</v>
      </c>
      <c r="K3" s="46" t="s">
        <v>16</v>
      </c>
      <c r="L3" s="2"/>
      <c r="M3" s="2"/>
      <c r="N3" s="2"/>
    </row>
    <row r="4" spans="1:15" s="5" customFormat="1" ht="15.65" customHeight="1" x14ac:dyDescent="0.3">
      <c r="A4" s="73" t="s">
        <v>23</v>
      </c>
      <c r="B4" s="52" t="s">
        <v>26</v>
      </c>
      <c r="C4" s="37">
        <v>3.4135987800000001</v>
      </c>
      <c r="D4" s="21">
        <v>4.9800814611259021</v>
      </c>
      <c r="E4" s="25" t="s">
        <v>28</v>
      </c>
      <c r="F4" s="24">
        <f>[1]Sheet1!$V$18</f>
        <v>0.2929459683015237</v>
      </c>
      <c r="G4" s="25">
        <v>0</v>
      </c>
      <c r="H4" s="26" t="s">
        <v>28</v>
      </c>
      <c r="I4" s="21">
        <v>0</v>
      </c>
      <c r="J4" s="25">
        <v>0</v>
      </c>
      <c r="K4" s="26">
        <v>0</v>
      </c>
      <c r="L4" s="4"/>
      <c r="M4" s="4"/>
      <c r="N4" s="4"/>
    </row>
    <row r="5" spans="1:15" s="5" customFormat="1" ht="15.65" customHeight="1" x14ac:dyDescent="0.3">
      <c r="A5" s="74"/>
      <c r="B5" s="50" t="s">
        <v>3</v>
      </c>
      <c r="C5" s="38">
        <v>12.720419820000002</v>
      </c>
      <c r="D5" s="22">
        <v>1.8081164242580787</v>
      </c>
      <c r="E5" s="29" t="s">
        <v>28</v>
      </c>
      <c r="F5" s="28">
        <v>0</v>
      </c>
      <c r="G5" s="29">
        <v>0.23584127272931465</v>
      </c>
      <c r="H5" s="30" t="s">
        <v>28</v>
      </c>
      <c r="I5" s="22">
        <f>[1]Sheet1!$X$21</f>
        <v>0.15722751515287642</v>
      </c>
      <c r="J5" s="29">
        <f>[1]Sheet1!$X$22</f>
        <v>7.8613757576438209E-2</v>
      </c>
      <c r="K5" s="30">
        <f>[1]Sheet1!$X$23</f>
        <v>0.15722751515287642</v>
      </c>
      <c r="L5" s="4"/>
      <c r="M5" s="4"/>
      <c r="N5" s="4"/>
    </row>
    <row r="6" spans="1:15" s="5" customFormat="1" ht="15.65" customHeight="1" x14ac:dyDescent="0.3">
      <c r="A6" s="74"/>
      <c r="B6" s="50" t="s">
        <v>4</v>
      </c>
      <c r="C6" s="38">
        <v>3.5036499999999999</v>
      </c>
      <c r="D6" s="22">
        <v>5.4229161017795731</v>
      </c>
      <c r="E6" s="29" t="s">
        <v>28</v>
      </c>
      <c r="F6" s="28">
        <v>0</v>
      </c>
      <c r="G6" s="29">
        <v>0.28541663693576702</v>
      </c>
      <c r="H6" s="30" t="s">
        <v>28</v>
      </c>
      <c r="I6" s="22">
        <v>0</v>
      </c>
      <c r="J6" s="29">
        <v>0</v>
      </c>
      <c r="K6" s="30">
        <v>0</v>
      </c>
      <c r="L6" s="4"/>
      <c r="M6" s="4"/>
      <c r="N6" s="4"/>
    </row>
    <row r="7" spans="1:15" s="5" customFormat="1" ht="15.65" customHeight="1" thickBot="1" x14ac:dyDescent="0.35">
      <c r="A7" s="75"/>
      <c r="B7" s="51" t="s">
        <v>5</v>
      </c>
      <c r="C7" s="39">
        <v>21.304912170000001</v>
      </c>
      <c r="D7" s="23">
        <v>0</v>
      </c>
      <c r="E7" s="27">
        <v>0.65712545014448642</v>
      </c>
      <c r="F7" s="32">
        <f>[1]Sheet1!$AB$18</f>
        <v>0.14081259645953281</v>
      </c>
      <c r="G7" s="27">
        <v>0</v>
      </c>
      <c r="H7" s="31" t="s">
        <v>28</v>
      </c>
      <c r="I7" s="23">
        <f>[1]Sheet1!$AB$21</f>
        <v>0.14081259645953281</v>
      </c>
      <c r="J7" s="27">
        <f>[1]Sheet1!$AB$22</f>
        <v>9.3875064306355213E-2</v>
      </c>
      <c r="K7" s="31">
        <f>[1]Sheet1!$AB$23</f>
        <v>4.6937532153177607E-2</v>
      </c>
      <c r="L7" s="4"/>
      <c r="M7" s="4"/>
      <c r="N7" s="4"/>
    </row>
    <row r="8" spans="1:15" s="5" customFormat="1" ht="15.65" customHeight="1" x14ac:dyDescent="0.3">
      <c r="A8" s="73" t="s">
        <v>24</v>
      </c>
      <c r="B8" s="52" t="s">
        <v>6</v>
      </c>
      <c r="C8" s="37">
        <v>7.721148311538462</v>
      </c>
      <c r="D8" s="21">
        <v>2.3312594543872254</v>
      </c>
      <c r="E8" s="25">
        <v>0.12951441413262363</v>
      </c>
      <c r="F8" s="24">
        <f>[1]Sheet1!$AD$18</f>
        <v>0.38854324239787086</v>
      </c>
      <c r="G8" s="25">
        <v>0.64757207066311817</v>
      </c>
      <c r="H8" s="26" t="s">
        <v>28</v>
      </c>
      <c r="I8" s="21">
        <f>[1]Sheet1!$AD$21</f>
        <v>0.12951441413262363</v>
      </c>
      <c r="J8" s="25">
        <f>[1]Sheet1!$AD$22</f>
        <v>0.12951441413262363</v>
      </c>
      <c r="K8" s="26">
        <v>0</v>
      </c>
      <c r="L8" s="4"/>
      <c r="M8" s="4"/>
      <c r="N8" s="4"/>
    </row>
    <row r="9" spans="1:15" s="5" customFormat="1" ht="15.65" customHeight="1" x14ac:dyDescent="0.3">
      <c r="A9" s="74"/>
      <c r="B9" s="50" t="s">
        <v>7</v>
      </c>
      <c r="C9" s="38">
        <v>12.273168915897436</v>
      </c>
      <c r="D9" s="22">
        <v>3.5035776248709567</v>
      </c>
      <c r="E9" s="29">
        <v>1.3851353400652622</v>
      </c>
      <c r="F9" s="28">
        <v>0</v>
      </c>
      <c r="G9" s="29">
        <v>0.24443564824681097</v>
      </c>
      <c r="H9" s="30" t="s">
        <v>28</v>
      </c>
      <c r="I9" s="22">
        <f>[1]Sheet1!$AF$21</f>
        <v>0.32591419766241464</v>
      </c>
      <c r="J9" s="29">
        <f>[1]Sheet1!$AF$22</f>
        <v>0.32591419766241464</v>
      </c>
      <c r="K9" s="30">
        <f>[1]Sheet1!$AF$23</f>
        <v>8.147854941560366E-2</v>
      </c>
      <c r="L9" s="4"/>
      <c r="M9" s="4"/>
      <c r="N9" s="4"/>
    </row>
    <row r="10" spans="1:15" s="5" customFormat="1" ht="15.65" customHeight="1" x14ac:dyDescent="0.3">
      <c r="A10" s="74"/>
      <c r="B10" s="50" t="s">
        <v>17</v>
      </c>
      <c r="C10" s="38">
        <v>7.1819852465641034</v>
      </c>
      <c r="D10" s="22">
        <v>0</v>
      </c>
      <c r="E10" s="29">
        <v>0.4177118021002918</v>
      </c>
      <c r="F10" s="28">
        <v>0</v>
      </c>
      <c r="G10" s="29">
        <v>0</v>
      </c>
      <c r="H10" s="30" t="s">
        <v>28</v>
      </c>
      <c r="I10" s="22">
        <f>[1]Sheet1!$AH$21</f>
        <v>0.55694906946705569</v>
      </c>
      <c r="J10" s="29">
        <f>[1]Sheet1!$AH$22</f>
        <v>0.6961863368338197</v>
      </c>
      <c r="K10" s="30">
        <v>0</v>
      </c>
      <c r="L10" s="4"/>
      <c r="M10" s="4"/>
      <c r="N10" s="4"/>
    </row>
    <row r="11" spans="1:15" s="5" customFormat="1" ht="15.65" customHeight="1" thickBot="1" x14ac:dyDescent="0.35">
      <c r="A11" s="75"/>
      <c r="B11" s="51" t="s">
        <v>8</v>
      </c>
      <c r="C11" s="39">
        <v>0.57107699999999995</v>
      </c>
      <c r="D11" s="23">
        <v>0</v>
      </c>
      <c r="E11" s="27">
        <v>0</v>
      </c>
      <c r="F11" s="32">
        <v>0</v>
      </c>
      <c r="G11" s="27">
        <v>0</v>
      </c>
      <c r="H11" s="31" t="s">
        <v>28</v>
      </c>
      <c r="I11" s="23">
        <v>0</v>
      </c>
      <c r="J11" s="27">
        <v>0</v>
      </c>
      <c r="K11" s="31">
        <v>0</v>
      </c>
      <c r="L11" s="4"/>
      <c r="M11" s="4"/>
      <c r="N11" s="4"/>
    </row>
    <row r="12" spans="1:15" s="5" customFormat="1" ht="15.65" customHeight="1" x14ac:dyDescent="0.3">
      <c r="A12" s="71" t="s">
        <v>25</v>
      </c>
      <c r="B12" s="49" t="s">
        <v>18</v>
      </c>
      <c r="C12" s="40">
        <v>1.3649733500000001</v>
      </c>
      <c r="D12" s="41">
        <v>5.128305252260053</v>
      </c>
      <c r="E12" s="42">
        <v>0</v>
      </c>
      <c r="F12" s="43">
        <v>0</v>
      </c>
      <c r="G12" s="42">
        <v>0</v>
      </c>
      <c r="H12" s="44" t="s">
        <v>28</v>
      </c>
      <c r="I12" s="41">
        <v>0</v>
      </c>
      <c r="J12" s="42">
        <v>0</v>
      </c>
      <c r="K12" s="44">
        <v>0</v>
      </c>
      <c r="L12" s="4"/>
      <c r="M12" s="4"/>
      <c r="N12" s="4"/>
    </row>
    <row r="13" spans="1:15" s="5" customFormat="1" ht="15.65" customHeight="1" x14ac:dyDescent="0.3">
      <c r="A13" s="71"/>
      <c r="B13" s="50" t="s">
        <v>19</v>
      </c>
      <c r="C13" s="38">
        <v>7.5363555180000006</v>
      </c>
      <c r="D13" s="22">
        <v>0</v>
      </c>
      <c r="E13" s="29">
        <v>0</v>
      </c>
      <c r="F13" s="28">
        <v>0</v>
      </c>
      <c r="G13" s="29">
        <v>0.39807039262342825</v>
      </c>
      <c r="H13" s="30" t="s">
        <v>28</v>
      </c>
      <c r="I13" s="22">
        <v>0</v>
      </c>
      <c r="J13" s="29">
        <v>0</v>
      </c>
      <c r="K13" s="30">
        <v>0</v>
      </c>
      <c r="L13" s="4"/>
      <c r="M13" s="4"/>
      <c r="N13" s="4"/>
    </row>
    <row r="14" spans="1:15" s="5" customFormat="1" ht="15.65" customHeight="1" x14ac:dyDescent="0.3">
      <c r="A14" s="71"/>
      <c r="B14" s="50" t="s">
        <v>20</v>
      </c>
      <c r="C14" s="38">
        <v>2.1255060000000001</v>
      </c>
      <c r="D14" s="22">
        <v>2.8228572396408196</v>
      </c>
      <c r="E14" s="29">
        <v>1.4114286198204098</v>
      </c>
      <c r="F14" s="28">
        <v>0</v>
      </c>
      <c r="G14" s="29">
        <v>1.4114286198204098</v>
      </c>
      <c r="H14" s="30" t="s">
        <v>28</v>
      </c>
      <c r="I14" s="22">
        <v>0</v>
      </c>
      <c r="J14" s="29">
        <v>0</v>
      </c>
      <c r="K14" s="30">
        <v>0</v>
      </c>
      <c r="L14" s="4"/>
      <c r="M14" s="4"/>
      <c r="N14" s="4"/>
    </row>
    <row r="15" spans="1:15" s="5" customFormat="1" ht="15.65" customHeight="1" x14ac:dyDescent="0.3">
      <c r="A15" s="71"/>
      <c r="B15" s="50" t="s">
        <v>21</v>
      </c>
      <c r="C15" s="38">
        <v>1.4569589599999999</v>
      </c>
      <c r="D15" s="22">
        <v>4.8045279188921013</v>
      </c>
      <c r="E15" s="29">
        <v>0</v>
      </c>
      <c r="F15" s="28">
        <v>0</v>
      </c>
      <c r="G15" s="29">
        <v>0</v>
      </c>
      <c r="H15" s="30" t="s">
        <v>28</v>
      </c>
      <c r="I15" s="22">
        <v>0</v>
      </c>
      <c r="J15" s="29">
        <v>0</v>
      </c>
      <c r="K15" s="30">
        <v>0</v>
      </c>
      <c r="L15" s="4"/>
      <c r="M15" s="4"/>
      <c r="N15" s="4"/>
      <c r="O15" s="19"/>
    </row>
    <row r="16" spans="1:15" s="5" customFormat="1" ht="15.5" customHeight="1" thickBot="1" x14ac:dyDescent="0.35">
      <c r="A16" s="72"/>
      <c r="B16" s="53" t="s">
        <v>22</v>
      </c>
      <c r="C16" s="39">
        <v>5.7995670199999996</v>
      </c>
      <c r="D16" s="23">
        <v>0</v>
      </c>
      <c r="E16" s="27">
        <v>0</v>
      </c>
      <c r="F16" s="32">
        <f>[1]Sheet1!$AT$18</f>
        <v>0.17242666505128171</v>
      </c>
      <c r="G16" s="27">
        <v>0</v>
      </c>
      <c r="H16" s="31" t="s">
        <v>28</v>
      </c>
      <c r="I16" s="23">
        <f>[1]Sheet1!$AT$21</f>
        <v>0.17242666505128171</v>
      </c>
      <c r="J16" s="27">
        <v>0</v>
      </c>
      <c r="K16" s="31">
        <v>0</v>
      </c>
      <c r="L16" s="4"/>
      <c r="M16" s="4"/>
      <c r="N16" s="4"/>
    </row>
    <row r="17" spans="1:28" s="8" customFormat="1" ht="15" thickBot="1" x14ac:dyDescent="0.4">
      <c r="A17" s="67"/>
      <c r="B17" s="17" t="s">
        <v>30</v>
      </c>
      <c r="C17" s="18">
        <v>86.97332109200002</v>
      </c>
      <c r="D17" s="33">
        <v>0.3449333614415635</v>
      </c>
      <c r="E17" s="33">
        <v>0.3449333614415635</v>
      </c>
      <c r="F17" s="33">
        <v>0.3449333614415635</v>
      </c>
      <c r="G17" s="33">
        <v>0.3449333614415635</v>
      </c>
      <c r="H17" s="34" t="s">
        <v>28</v>
      </c>
      <c r="I17" s="35">
        <v>2.8744446786796956E-3</v>
      </c>
      <c r="J17" s="35">
        <v>2.8744446786796956E-3</v>
      </c>
      <c r="K17" s="36">
        <v>2.8744446786796956E-3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x14ac:dyDescent="0.35">
      <c r="A18" s="68"/>
    </row>
    <row r="19" spans="1:28" ht="14.5" hidden="1" customHeight="1" x14ac:dyDescent="0.35">
      <c r="B19" s="10"/>
      <c r="C19" s="10"/>
      <c r="D19" s="11"/>
    </row>
    <row r="20" spans="1:28" ht="14.5" hidden="1" customHeight="1" x14ac:dyDescent="0.35">
      <c r="B20" s="6"/>
      <c r="C20" s="6"/>
      <c r="D20" s="9"/>
    </row>
    <row r="21" spans="1:28" ht="14.5" hidden="1" customHeight="1" x14ac:dyDescent="0.35">
      <c r="B21" s="9"/>
      <c r="C21" s="9"/>
      <c r="D21" s="9"/>
    </row>
    <row r="22" spans="1:28" ht="14.5" hidden="1" customHeight="1" x14ac:dyDescent="0.35"/>
    <row r="23" spans="1:28" ht="14.5" hidden="1" customHeight="1" x14ac:dyDescent="0.35"/>
  </sheetData>
  <mergeCells count="8">
    <mergeCell ref="B1:K1"/>
    <mergeCell ref="D2:H2"/>
    <mergeCell ref="I2:K2"/>
    <mergeCell ref="A17:A18"/>
    <mergeCell ref="A2:A3"/>
    <mergeCell ref="A12:A16"/>
    <mergeCell ref="A4:A7"/>
    <mergeCell ref="A8:A11"/>
  </mergeCells>
  <conditionalFormatting sqref="D4:D16">
    <cfRule type="colorScale" priority="12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6">
    <cfRule type="colorScale" priority="18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E4:E16">
    <cfRule type="colorScale" priority="61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3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F16">
    <cfRule type="colorScale" priority="65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66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I16">
    <cfRule type="colorScale" priority="69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70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71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72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88" orientation="landscape" r:id="rId1"/>
  <colBreaks count="1" manualBreakCount="1">
    <brk id="1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2026-04-08T13:56:14Z</dcterms:created>
  <dcterms:modified xsi:type="dcterms:W3CDTF">2026-04-23T12:26:24Z</dcterms:modified>
</cp:coreProperties>
</file>