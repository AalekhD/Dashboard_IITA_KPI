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A666669B-5979-4079-8951-3769504A86D2}" xr6:coauthVersionLast="47" xr6:coauthVersionMax="47" xr10:uidLastSave="{00000000-0000-0000-0000-000000000000}"/>
  <bookViews>
    <workbookView xWindow="1536" yWindow="1536" windowWidth="17280" windowHeight="9960" xr2:uid="{462AB6D2-C8E4-47A1-AF79-F15809A5475A}"/>
  </bookViews>
  <sheets>
    <sheet name="Reputation, Society" sheetId="1" r:id="rId1"/>
  </sheets>
  <externalReferences>
    <externalReference r:id="rId2"/>
  </externalReferences>
  <definedNames>
    <definedName name="_Hlk200085589" localSheetId="0">'Reputation, Society'!#REF!</definedName>
    <definedName name="_xlnm.Print_Area" localSheetId="0">'Reputation, Society'!$B$1:$L$17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G16" i="1"/>
  <c r="K10" i="1"/>
  <c r="J10" i="1"/>
  <c r="L9" i="1"/>
  <c r="K9" i="1"/>
  <c r="J9" i="1"/>
  <c r="K8" i="1"/>
  <c r="J8" i="1"/>
  <c r="G8" i="1"/>
  <c r="L7" i="1"/>
  <c r="K7" i="1"/>
  <c r="J7" i="1"/>
  <c r="G7" i="1"/>
  <c r="L5" i="1"/>
  <c r="K5" i="1"/>
  <c r="J5" i="1"/>
  <c r="G4" i="1"/>
</calcChain>
</file>

<file path=xl/sharedStrings.xml><?xml version="1.0" encoding="utf-8"?>
<sst xmlns="http://schemas.openxmlformats.org/spreadsheetml/2006/main" count="46" uniqueCount="30">
  <si>
    <t>KPI by $</t>
  </si>
  <si>
    <t>Recognition and Reputation</t>
  </si>
  <si>
    <t>Society Impact &amp; Inclusion</t>
  </si>
  <si>
    <t>Biotech</t>
  </si>
  <si>
    <t>N/A</t>
  </si>
  <si>
    <t>Breeding</t>
  </si>
  <si>
    <t>Genebanks</t>
  </si>
  <si>
    <t>Seed System</t>
  </si>
  <si>
    <t>Plant Health</t>
  </si>
  <si>
    <t>Farming Systems Agronomy</t>
  </si>
  <si>
    <t>Mechanization</t>
  </si>
  <si>
    <t>per Program Target (target/13)</t>
  </si>
  <si>
    <t>Collaboration with Agriculture Research Institutions</t>
  </si>
  <si>
    <t>Active collaborations with scaling partners</t>
  </si>
  <si>
    <t>Awards granted to IITA staff or project teams</t>
  </si>
  <si>
    <t xml:space="preserve"> Invitations for presentations or seminars</t>
  </si>
  <si>
    <t>High level engagements</t>
  </si>
  <si>
    <t xml:space="preserve"> Approved proposals with GeYSI components</t>
  </si>
  <si>
    <t>Approved proposals with climate components</t>
  </si>
  <si>
    <t>Approved proposals with nutrition ad health components</t>
  </si>
  <si>
    <t>Natural Resource Management</t>
  </si>
  <si>
    <t>Foresight &amp; Impact Assessment</t>
  </si>
  <si>
    <t>Gender, Youth &amp; Social Inclusion</t>
  </si>
  <si>
    <t>Reslience &amp; Climate Adaptation</t>
  </si>
  <si>
    <t>Nutrition and Health</t>
  </si>
  <si>
    <t>Value Chain Markets and Agribusiness</t>
  </si>
  <si>
    <t>Genetic Innovation</t>
  </si>
  <si>
    <t>Resilient Agrifood Systems</t>
  </si>
  <si>
    <t>Systems Transformation</t>
  </si>
  <si>
    <t>USD (million)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</si>
</sst>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  <numFmt numFmtId="168" formatCode="_(* #,##0.0_);_(* \(#,##0.0\);_(* &quot;-&quot;??_);_(@_)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9"/>
      <color theme="1"/>
      <name val="Calibri"/>
      <family val="2"/>
    </font>
    <font>
      <sz val="9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B05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B050"/>
      </top>
      <bottom style="thin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B05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165" fontId="0" fillId="0" borderId="0" xfId="0" applyNumberFormat="1"/>
    <xf numFmtId="0" fontId="2" fillId="0" borderId="9" xfId="0" applyFont="1" applyBorder="1" applyAlignment="1">
      <alignment horizontal="left" vertical="top" readingOrder="1"/>
    </xf>
    <xf numFmtId="165" fontId="6" fillId="0" borderId="0" xfId="0" applyNumberFormat="1" applyFont="1"/>
    <xf numFmtId="0" fontId="6" fillId="0" borderId="0" xfId="0" applyFont="1"/>
    <xf numFmtId="2" fontId="2" fillId="0" borderId="10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166" fontId="2" fillId="0" borderId="11" xfId="2" applyNumberFormat="1" applyFont="1" applyBorder="1" applyAlignment="1">
      <alignment horizontal="center"/>
    </xf>
    <xf numFmtId="166" fontId="2" fillId="0" borderId="12" xfId="0" applyNumberFormat="1" applyFont="1" applyBorder="1" applyAlignment="1">
      <alignment horizontal="center"/>
    </xf>
    <xf numFmtId="166" fontId="2" fillId="0" borderId="16" xfId="0" applyNumberFormat="1" applyFont="1" applyBorder="1" applyAlignment="1">
      <alignment horizontal="center"/>
    </xf>
    <xf numFmtId="166" fontId="2" fillId="0" borderId="15" xfId="0" applyNumberFormat="1" applyFont="1" applyBorder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165" fontId="7" fillId="0" borderId="0" xfId="0" applyNumberFormat="1" applyFont="1"/>
    <xf numFmtId="0" fontId="7" fillId="0" borderId="0" xfId="0" applyFont="1"/>
    <xf numFmtId="166" fontId="2" fillId="0" borderId="18" xfId="0" applyNumberFormat="1" applyFont="1" applyBorder="1" applyAlignment="1">
      <alignment horizontal="center"/>
    </xf>
    <xf numFmtId="166" fontId="2" fillId="0" borderId="22" xfId="0" applyNumberFormat="1" applyFont="1" applyBorder="1" applyAlignment="1">
      <alignment horizontal="center"/>
    </xf>
    <xf numFmtId="166" fontId="2" fillId="0" borderId="23" xfId="0" applyNumberFormat="1" applyFont="1" applyBorder="1" applyAlignment="1">
      <alignment horizontal="center"/>
    </xf>
    <xf numFmtId="166" fontId="2" fillId="0" borderId="21" xfId="0" applyNumberFormat="1" applyFont="1" applyBorder="1" applyAlignment="1">
      <alignment horizontal="center"/>
    </xf>
    <xf numFmtId="166" fontId="2" fillId="0" borderId="14" xfId="0" applyNumberFormat="1" applyFont="1" applyBorder="1" applyAlignment="1">
      <alignment horizontal="center"/>
    </xf>
    <xf numFmtId="0" fontId="4" fillId="0" borderId="24" xfId="0" applyFont="1" applyBorder="1" applyAlignment="1">
      <alignment horizontal="left" vertical="center" wrapText="1"/>
    </xf>
    <xf numFmtId="2" fontId="2" fillId="0" borderId="28" xfId="0" applyNumberFormat="1" applyFont="1" applyBorder="1" applyAlignment="1">
      <alignment horizontal="center"/>
    </xf>
    <xf numFmtId="166" fontId="2" fillId="0" borderId="20" xfId="0" applyNumberFormat="1" applyFont="1" applyBorder="1" applyAlignment="1">
      <alignment horizontal="center"/>
    </xf>
    <xf numFmtId="166" fontId="2" fillId="0" borderId="20" xfId="2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165" fontId="8" fillId="0" borderId="0" xfId="0" applyNumberFormat="1" applyFont="1"/>
    <xf numFmtId="0" fontId="8" fillId="0" borderId="0" xfId="0" applyFont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4" fillId="0" borderId="30" xfId="0" applyFont="1" applyBorder="1" applyAlignment="1">
      <alignment horizontal="right" textRotation="90" wrapText="1" readingOrder="1"/>
    </xf>
    <xf numFmtId="0" fontId="4" fillId="0" borderId="31" xfId="0" applyFont="1" applyBorder="1" applyAlignment="1">
      <alignment horizontal="right" textRotation="90" wrapText="1" readingOrder="1"/>
    </xf>
    <xf numFmtId="0" fontId="4" fillId="0" borderId="32" xfId="0" applyFont="1" applyBorder="1" applyAlignment="1">
      <alignment horizontal="right" textRotation="90" wrapText="1" readingOrder="1"/>
    </xf>
    <xf numFmtId="0" fontId="4" fillId="0" borderId="0" xfId="0" applyFont="1" applyAlignment="1">
      <alignment horizontal="right" textRotation="90" wrapText="1" readingOrder="1"/>
    </xf>
    <xf numFmtId="0" fontId="4" fillId="0" borderId="33" xfId="0" applyFont="1" applyBorder="1" applyAlignment="1">
      <alignment horizontal="right" textRotation="90" wrapText="1" readingOrder="1"/>
    </xf>
    <xf numFmtId="0" fontId="9" fillId="0" borderId="0" xfId="0" applyFont="1" applyAlignment="1">
      <alignment horizont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9" fillId="2" borderId="9" xfId="0" applyFont="1" applyFill="1" applyBorder="1" applyAlignment="1">
      <alignment horizontal="center" vertical="top"/>
    </xf>
    <xf numFmtId="0" fontId="9" fillId="2" borderId="34" xfId="0" applyFont="1" applyFill="1" applyBorder="1" applyAlignment="1">
      <alignment horizontal="right" vertical="top"/>
    </xf>
    <xf numFmtId="0" fontId="12" fillId="0" borderId="0" xfId="0" applyFont="1" applyAlignment="1">
      <alignment vertical="top"/>
    </xf>
    <xf numFmtId="0" fontId="2" fillId="0" borderId="0" xfId="0" applyFont="1" applyAlignment="1">
      <alignment horizontal="center" readingOrder="1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9" fillId="3" borderId="0" xfId="0" applyFont="1" applyFill="1" applyAlignment="1">
      <alignment horizontal="left"/>
    </xf>
    <xf numFmtId="164" fontId="9" fillId="3" borderId="0" xfId="1" applyFont="1" applyFill="1" applyAlignment="1">
      <alignment horizontal="center"/>
    </xf>
    <xf numFmtId="165" fontId="13" fillId="3" borderId="0" xfId="0" applyNumberFormat="1" applyFont="1" applyFill="1"/>
    <xf numFmtId="167" fontId="9" fillId="3" borderId="0" xfId="1" applyNumberFormat="1" applyFont="1" applyFill="1" applyAlignment="1">
      <alignment horizontal="center"/>
    </xf>
    <xf numFmtId="168" fontId="4" fillId="0" borderId="36" xfId="1" applyNumberFormat="1" applyFont="1" applyBorder="1" applyAlignment="1">
      <alignment vertical="center" wrapText="1"/>
    </xf>
    <xf numFmtId="168" fontId="4" fillId="0" borderId="29" xfId="1" applyNumberFormat="1" applyFont="1" applyBorder="1" applyAlignment="1">
      <alignment vertical="center" wrapText="1"/>
    </xf>
    <xf numFmtId="168" fontId="4" fillId="0" borderId="37" xfId="1" applyNumberFormat="1" applyFont="1" applyBorder="1" applyAlignment="1">
      <alignment vertical="center" wrapText="1"/>
    </xf>
    <xf numFmtId="168" fontId="4" fillId="0" borderId="38" xfId="1" applyNumberFormat="1" applyFont="1" applyBorder="1" applyAlignment="1">
      <alignment vertical="center" wrapText="1"/>
    </xf>
    <xf numFmtId="168" fontId="4" fillId="0" borderId="16" xfId="1" applyNumberFormat="1" applyFont="1" applyBorder="1" applyAlignment="1">
      <alignment vertical="center" wrapText="1"/>
    </xf>
    <xf numFmtId="168" fontId="4" fillId="0" borderId="22" xfId="1" applyNumberFormat="1" applyFont="1" applyBorder="1" applyAlignment="1">
      <alignment vertical="center" wrapText="1"/>
    </xf>
    <xf numFmtId="168" fontId="2" fillId="3" borderId="0" xfId="1" applyNumberFormat="1" applyFont="1" applyFill="1" applyAlignment="1"/>
    <xf numFmtId="0" fontId="4" fillId="0" borderId="39" xfId="0" applyFont="1" applyBorder="1" applyAlignment="1">
      <alignment horizontal="left" vertical="center" wrapText="1"/>
    </xf>
    <xf numFmtId="0" fontId="4" fillId="0" borderId="40" xfId="0" applyFont="1" applyBorder="1" applyAlignment="1">
      <alignment horizontal="left" vertical="center" wrapText="1"/>
    </xf>
    <xf numFmtId="0" fontId="2" fillId="2" borderId="25" xfId="0" applyFont="1" applyFill="1" applyBorder="1" applyAlignment="1">
      <alignment horizontal="center" vertical="center" textRotation="90"/>
    </xf>
    <xf numFmtId="0" fontId="2" fillId="2" borderId="26" xfId="0" applyFont="1" applyFill="1" applyBorder="1" applyAlignment="1">
      <alignment horizontal="center" vertical="center" textRotation="90"/>
    </xf>
    <xf numFmtId="0" fontId="2" fillId="2" borderId="27" xfId="0" applyFont="1" applyFill="1" applyBorder="1" applyAlignment="1">
      <alignment horizontal="center" vertical="center" textRotation="90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7" xfId="0" applyFont="1" applyFill="1" applyBorder="1" applyAlignment="1">
      <alignment horizontal="center" vertical="center" textRotation="90"/>
    </xf>
    <xf numFmtId="0" fontId="2" fillId="2" borderId="19" xfId="0" applyFont="1" applyFill="1" applyBorder="1" applyAlignment="1">
      <alignment horizontal="center" vertical="center" textRotation="90"/>
    </xf>
    <xf numFmtId="0" fontId="9" fillId="2" borderId="1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top"/>
    </xf>
    <xf numFmtId="0" fontId="9" fillId="2" borderId="35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/>
    </xf>
    <xf numFmtId="0" fontId="9" fillId="2" borderId="7" xfId="0" applyFont="1" applyFill="1" applyBorder="1" applyAlignment="1">
      <alignment horizontal="center" vertical="top" wrapText="1"/>
    </xf>
    <xf numFmtId="0" fontId="9" fillId="2" borderId="8" xfId="0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giar-my.sharepoint.com/personal/s_lewis_cgiar_org/Documents/TAAT/R4D/KPIS/KPI%20data%20for%20IITA%20for%20AI%20upload.xlsx" TargetMode="External"/><Relationship Id="rId1" Type="http://schemas.openxmlformats.org/officeDocument/2006/relationships/externalLinkPath" Target="https://cgiar-my.sharepoint.com/personal/s_lewis_cgiar_org/Documents/TAAT/R4D/KPIS/KPI%20data%20for%20IITA%20for%20AI%20upl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Sheet1"/>
    </sheetNames>
    <sheetDataSet>
      <sheetData sheetId="0"/>
      <sheetData sheetId="1">
        <row r="12">
          <cell r="I12">
            <v>1.4999999999999999E-2</v>
          </cell>
        </row>
        <row r="18">
          <cell r="V18">
            <v>0.2929459683015237</v>
          </cell>
          <cell r="AB18">
            <v>0.14081259645953281</v>
          </cell>
          <cell r="AD18">
            <v>0.38854324239787086</v>
          </cell>
          <cell r="AT18">
            <v>0.17242666505128171</v>
          </cell>
        </row>
        <row r="21">
          <cell r="X21">
            <v>0.15722751515287642</v>
          </cell>
          <cell r="AB21">
            <v>0.14081259645953281</v>
          </cell>
          <cell r="AD21">
            <v>0.12951441413262363</v>
          </cell>
          <cell r="AF21">
            <v>0.32591419766241464</v>
          </cell>
          <cell r="AH21">
            <v>0.55694906946705569</v>
          </cell>
          <cell r="AT21">
            <v>0.17242666505128171</v>
          </cell>
        </row>
        <row r="22">
          <cell r="X22">
            <v>7.8613757576438209E-2</v>
          </cell>
          <cell r="AB22">
            <v>9.3875064306355213E-2</v>
          </cell>
          <cell r="AD22">
            <v>0.12951441413262363</v>
          </cell>
          <cell r="AF22">
            <v>0.32591419766241464</v>
          </cell>
          <cell r="AH22">
            <v>0.6961863368338197</v>
          </cell>
        </row>
        <row r="23">
          <cell r="X23">
            <v>0.15722751515287642</v>
          </cell>
          <cell r="AB23">
            <v>4.6937532153177607E-2</v>
          </cell>
          <cell r="AF23">
            <v>8.147854941560366E-2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2AA3-1E8A-41A7-8E84-C9E5096ACF8A}">
  <sheetPr>
    <tabColor rgb="FFFFFF00"/>
    <pageSetUpPr fitToPage="1"/>
  </sheetPr>
  <dimension ref="B1:AC23"/>
  <sheetViews>
    <sheetView tabSelected="1" zoomScale="60" zoomScaleNormal="60" zoomScaleSheetLayoutView="75" workbookViewId="0">
      <pane ySplit="3" topLeftCell="A4" activePane="bottomLeft" state="frozen"/>
      <selection activeCell="B1" sqref="B1:O20"/>
      <selection pane="bottomLeft" activeCell="I3" sqref="I3"/>
    </sheetView>
  </sheetViews>
  <sheetFormatPr defaultRowHeight="14.4"/>
  <cols>
    <col min="2" max="2" width="3.21875" style="43" customWidth="1"/>
    <col min="3" max="3" width="37.21875" style="12" customWidth="1"/>
    <col min="4" max="4" width="5.33203125" style="12" bestFit="1" customWidth="1"/>
    <col min="5" max="5" width="8.21875" style="29" customWidth="1"/>
    <col min="6" max="6" width="6.88671875" style="12" customWidth="1"/>
    <col min="7" max="7" width="6.77734375" style="12" customWidth="1"/>
    <col min="8" max="8" width="6.21875" style="12" customWidth="1"/>
    <col min="9" max="9" width="6.77734375" style="12" customWidth="1"/>
    <col min="10" max="12" width="8.21875" style="12" customWidth="1"/>
    <col min="13" max="15" width="8.21875" style="1" customWidth="1"/>
  </cols>
  <sheetData>
    <row r="1" spans="2:15" s="36" customFormat="1" ht="15" thickBot="1">
      <c r="B1" s="35"/>
      <c r="C1" s="63" t="s">
        <v>0</v>
      </c>
      <c r="D1" s="64"/>
      <c r="E1" s="65"/>
      <c r="F1" s="65"/>
      <c r="G1" s="65"/>
      <c r="H1" s="65"/>
      <c r="I1" s="65"/>
      <c r="J1" s="66"/>
      <c r="K1" s="66"/>
      <c r="L1" s="67"/>
    </row>
    <row r="2" spans="2:15" s="40" customFormat="1" ht="25.95" customHeight="1" thickBot="1">
      <c r="B2" s="37"/>
      <c r="C2" s="38"/>
      <c r="D2" s="39"/>
      <c r="E2" s="68" t="s">
        <v>1</v>
      </c>
      <c r="F2" s="69"/>
      <c r="G2" s="69"/>
      <c r="H2" s="69"/>
      <c r="I2" s="70"/>
      <c r="J2" s="71" t="s">
        <v>2</v>
      </c>
      <c r="K2" s="71"/>
      <c r="L2" s="72"/>
    </row>
    <row r="3" spans="2:15" s="4" customFormat="1" ht="132" customHeight="1" thickBot="1">
      <c r="B3" s="41"/>
      <c r="C3" s="2"/>
      <c r="D3" s="30" t="s">
        <v>29</v>
      </c>
      <c r="E3" s="30" t="s">
        <v>12</v>
      </c>
      <c r="F3" s="31" t="s">
        <v>13</v>
      </c>
      <c r="G3" s="31" t="s">
        <v>14</v>
      </c>
      <c r="H3" s="31" t="s">
        <v>15</v>
      </c>
      <c r="I3" s="32" t="s">
        <v>16</v>
      </c>
      <c r="J3" s="33" t="s">
        <v>17</v>
      </c>
      <c r="K3" s="34" t="s">
        <v>18</v>
      </c>
      <c r="L3" s="32" t="s">
        <v>19</v>
      </c>
      <c r="M3" s="3"/>
      <c r="N3" s="3"/>
      <c r="O3" s="3"/>
    </row>
    <row r="4" spans="2:15" s="13" customFormat="1" ht="15.6" customHeight="1">
      <c r="B4" s="60" t="s">
        <v>26</v>
      </c>
      <c r="C4" s="55" t="s">
        <v>3</v>
      </c>
      <c r="D4" s="48">
        <v>3.4135987800000001</v>
      </c>
      <c r="E4" s="5">
        <v>4.9800814611259021</v>
      </c>
      <c r="F4" s="6" t="s">
        <v>4</v>
      </c>
      <c r="G4" s="7">
        <f>[1]Sheet1!$V$18</f>
        <v>0.2929459683015237</v>
      </c>
      <c r="H4" s="6">
        <v>0</v>
      </c>
      <c r="I4" s="8" t="s">
        <v>4</v>
      </c>
      <c r="J4" s="9">
        <v>0</v>
      </c>
      <c r="K4" s="10">
        <v>0</v>
      </c>
      <c r="L4" s="11">
        <v>0</v>
      </c>
      <c r="M4" s="12"/>
      <c r="N4" s="12"/>
      <c r="O4" s="12"/>
    </row>
    <row r="5" spans="2:15" s="13" customFormat="1" ht="15.6" customHeight="1">
      <c r="B5" s="61"/>
      <c r="C5" s="19" t="s">
        <v>5</v>
      </c>
      <c r="D5" s="49">
        <v>12.720419820000002</v>
      </c>
      <c r="E5" s="5">
        <v>1.8081164242580787</v>
      </c>
      <c r="F5" s="6" t="s">
        <v>4</v>
      </c>
      <c r="G5" s="7">
        <v>0</v>
      </c>
      <c r="H5" s="6">
        <v>0.23584127272931465</v>
      </c>
      <c r="I5" s="8" t="s">
        <v>4</v>
      </c>
      <c r="J5" s="9">
        <f>[1]Sheet1!$X$21</f>
        <v>0.15722751515287642</v>
      </c>
      <c r="K5" s="14">
        <f>[1]Sheet1!$X$22</f>
        <v>7.8613757576438209E-2</v>
      </c>
      <c r="L5" s="8">
        <f>[1]Sheet1!$X$23</f>
        <v>0.15722751515287642</v>
      </c>
      <c r="M5" s="12"/>
      <c r="N5" s="12"/>
      <c r="O5" s="12"/>
    </row>
    <row r="6" spans="2:15" s="13" customFormat="1" ht="15.6" customHeight="1">
      <c r="B6" s="61"/>
      <c r="C6" s="19" t="s">
        <v>6</v>
      </c>
      <c r="D6" s="49">
        <v>3.5036499999999999</v>
      </c>
      <c r="E6" s="5">
        <v>5.4229161017795731</v>
      </c>
      <c r="F6" s="6" t="s">
        <v>4</v>
      </c>
      <c r="G6" s="7">
        <v>0</v>
      </c>
      <c r="H6" s="6">
        <v>0.28541663693576702</v>
      </c>
      <c r="I6" s="8" t="s">
        <v>4</v>
      </c>
      <c r="J6" s="9">
        <v>0</v>
      </c>
      <c r="K6" s="14">
        <v>0</v>
      </c>
      <c r="L6" s="8">
        <v>0</v>
      </c>
      <c r="M6" s="12"/>
      <c r="N6" s="12"/>
      <c r="O6" s="12"/>
    </row>
    <row r="7" spans="2:15" s="13" customFormat="1" ht="15.6" customHeight="1" thickBot="1">
      <c r="B7" s="62"/>
      <c r="C7" s="56" t="s">
        <v>7</v>
      </c>
      <c r="D7" s="50">
        <v>21.304912170000001</v>
      </c>
      <c r="E7" s="5">
        <v>0</v>
      </c>
      <c r="F7" s="6">
        <v>0.65712545014448642</v>
      </c>
      <c r="G7" s="7">
        <f>[1]Sheet1!$AB$18</f>
        <v>0.14081259645953281</v>
      </c>
      <c r="H7" s="6">
        <v>0</v>
      </c>
      <c r="I7" s="8" t="s">
        <v>4</v>
      </c>
      <c r="J7" s="15">
        <f>[1]Sheet1!$AB$21</f>
        <v>0.14081259645953281</v>
      </c>
      <c r="K7" s="16">
        <f>[1]Sheet1!$AB$22</f>
        <v>9.3875064306355213E-2</v>
      </c>
      <c r="L7" s="17">
        <f>[1]Sheet1!$AB$23</f>
        <v>4.6937532153177607E-2</v>
      </c>
      <c r="M7" s="12"/>
      <c r="N7" s="12"/>
      <c r="O7" s="12"/>
    </row>
    <row r="8" spans="2:15" s="13" customFormat="1" ht="15.6" customHeight="1">
      <c r="B8" s="60" t="s">
        <v>27</v>
      </c>
      <c r="C8" s="55" t="s">
        <v>8</v>
      </c>
      <c r="D8" s="48">
        <v>7.721148311538462</v>
      </c>
      <c r="E8" s="5">
        <v>2.3312594543872254</v>
      </c>
      <c r="F8" s="6">
        <v>0.12951441413262363</v>
      </c>
      <c r="G8" s="7">
        <f>[1]Sheet1!$AD$18</f>
        <v>0.38854324239787086</v>
      </c>
      <c r="H8" s="6">
        <v>0.64757207066311817</v>
      </c>
      <c r="I8" s="8" t="s">
        <v>4</v>
      </c>
      <c r="J8" s="18">
        <f>[1]Sheet1!$AD$21</f>
        <v>0.12951441413262363</v>
      </c>
      <c r="K8" s="10">
        <f>[1]Sheet1!$AD$22</f>
        <v>0.12951441413262363</v>
      </c>
      <c r="L8" s="11">
        <v>0</v>
      </c>
      <c r="M8" s="12"/>
      <c r="N8" s="12"/>
      <c r="O8" s="12"/>
    </row>
    <row r="9" spans="2:15" s="13" customFormat="1" ht="15.6" customHeight="1">
      <c r="B9" s="61"/>
      <c r="C9" s="19" t="s">
        <v>9</v>
      </c>
      <c r="D9" s="49">
        <v>12.273168915897436</v>
      </c>
      <c r="E9" s="5">
        <v>3.5035776248709567</v>
      </c>
      <c r="F9" s="6">
        <v>1.3851353400652622</v>
      </c>
      <c r="G9" s="7">
        <v>0</v>
      </c>
      <c r="H9" s="6">
        <v>0.24443564824681097</v>
      </c>
      <c r="I9" s="8" t="s">
        <v>4</v>
      </c>
      <c r="J9" s="9">
        <f>[1]Sheet1!$AF$21</f>
        <v>0.32591419766241464</v>
      </c>
      <c r="K9" s="14">
        <f>[1]Sheet1!$AF$22</f>
        <v>0.32591419766241464</v>
      </c>
      <c r="L9" s="8">
        <f>[1]Sheet1!$AF$23</f>
        <v>8.147854941560366E-2</v>
      </c>
      <c r="M9" s="12"/>
      <c r="N9" s="12"/>
      <c r="O9" s="12"/>
    </row>
    <row r="10" spans="2:15" s="13" customFormat="1" ht="15.6" customHeight="1">
      <c r="B10" s="61"/>
      <c r="C10" s="19" t="s">
        <v>20</v>
      </c>
      <c r="D10" s="49">
        <v>7.1819852465641034</v>
      </c>
      <c r="E10" s="5">
        <v>0</v>
      </c>
      <c r="F10" s="6">
        <v>0.4177118021002918</v>
      </c>
      <c r="G10" s="7">
        <v>0</v>
      </c>
      <c r="H10" s="6">
        <v>0</v>
      </c>
      <c r="I10" s="8" t="s">
        <v>4</v>
      </c>
      <c r="J10" s="9">
        <f>[1]Sheet1!$AH$21</f>
        <v>0.55694906946705569</v>
      </c>
      <c r="K10" s="14">
        <f>[1]Sheet1!$AH$22</f>
        <v>0.6961863368338197</v>
      </c>
      <c r="L10" s="8">
        <v>0</v>
      </c>
      <c r="M10" s="12"/>
      <c r="N10" s="12"/>
      <c r="O10" s="12"/>
    </row>
    <row r="11" spans="2:15" s="13" customFormat="1" ht="15.6" customHeight="1" thickBot="1">
      <c r="B11" s="62"/>
      <c r="C11" s="56" t="s">
        <v>10</v>
      </c>
      <c r="D11" s="50">
        <v>0.57107699999999995</v>
      </c>
      <c r="E11" s="5">
        <v>0</v>
      </c>
      <c r="F11" s="6">
        <v>0</v>
      </c>
      <c r="G11" s="7">
        <v>0</v>
      </c>
      <c r="H11" s="6">
        <v>0</v>
      </c>
      <c r="I11" s="8" t="s">
        <v>4</v>
      </c>
      <c r="J11" s="15">
        <v>0</v>
      </c>
      <c r="K11" s="16">
        <v>0</v>
      </c>
      <c r="L11" s="17">
        <v>0</v>
      </c>
      <c r="M11" s="12"/>
      <c r="N11" s="12"/>
      <c r="O11" s="12"/>
    </row>
    <row r="12" spans="2:15" s="13" customFormat="1" ht="15.6" customHeight="1">
      <c r="B12" s="57" t="s">
        <v>28</v>
      </c>
      <c r="C12" s="55" t="s">
        <v>21</v>
      </c>
      <c r="D12" s="51">
        <v>1.3649733500000001</v>
      </c>
      <c r="E12" s="5">
        <v>5.128305252260053</v>
      </c>
      <c r="F12" s="6">
        <v>0</v>
      </c>
      <c r="G12" s="7">
        <v>0</v>
      </c>
      <c r="H12" s="6">
        <v>0</v>
      </c>
      <c r="I12" s="8" t="s">
        <v>4</v>
      </c>
      <c r="J12" s="18">
        <v>0</v>
      </c>
      <c r="K12" s="10">
        <v>0</v>
      </c>
      <c r="L12" s="11">
        <v>0</v>
      </c>
      <c r="M12" s="12"/>
      <c r="N12" s="12"/>
      <c r="O12" s="12"/>
    </row>
    <row r="13" spans="2:15" s="13" customFormat="1" ht="15.6" customHeight="1">
      <c r="B13" s="58"/>
      <c r="C13" s="19" t="s">
        <v>22</v>
      </c>
      <c r="D13" s="52">
        <v>7.5363555180000006</v>
      </c>
      <c r="E13" s="5">
        <v>0</v>
      </c>
      <c r="F13" s="6">
        <v>0</v>
      </c>
      <c r="G13" s="7">
        <v>0</v>
      </c>
      <c r="H13" s="6">
        <v>0.39807039262342825</v>
      </c>
      <c r="I13" s="8" t="s">
        <v>4</v>
      </c>
      <c r="J13" s="9">
        <v>0</v>
      </c>
      <c r="K13" s="14">
        <v>0</v>
      </c>
      <c r="L13" s="8">
        <v>0</v>
      </c>
      <c r="M13" s="12"/>
      <c r="N13" s="12"/>
      <c r="O13" s="12"/>
    </row>
    <row r="14" spans="2:15" s="13" customFormat="1" ht="15.6" customHeight="1">
      <c r="B14" s="58"/>
      <c r="C14" s="19" t="s">
        <v>23</v>
      </c>
      <c r="D14" s="52">
        <v>2.1255060000000001</v>
      </c>
      <c r="E14" s="5">
        <v>2.8228572396408196</v>
      </c>
      <c r="F14" s="6">
        <v>1.4114286198204098</v>
      </c>
      <c r="G14" s="7">
        <v>0</v>
      </c>
      <c r="H14" s="6">
        <v>1.4114286198204098</v>
      </c>
      <c r="I14" s="8" t="s">
        <v>4</v>
      </c>
      <c r="J14" s="9">
        <v>0</v>
      </c>
      <c r="K14" s="14">
        <v>0</v>
      </c>
      <c r="L14" s="8">
        <v>0</v>
      </c>
      <c r="M14" s="12"/>
      <c r="N14" s="12"/>
      <c r="O14" s="12"/>
    </row>
    <row r="15" spans="2:15" s="13" customFormat="1" ht="15.6" customHeight="1">
      <c r="B15" s="58"/>
      <c r="C15" s="19" t="s">
        <v>24</v>
      </c>
      <c r="D15" s="52">
        <v>1.4569589599999999</v>
      </c>
      <c r="E15" s="5">
        <v>4.8045279188921013</v>
      </c>
      <c r="F15" s="6">
        <v>0</v>
      </c>
      <c r="G15" s="7">
        <v>0</v>
      </c>
      <c r="H15" s="6">
        <v>0</v>
      </c>
      <c r="I15" s="8" t="s">
        <v>4</v>
      </c>
      <c r="J15" s="9">
        <v>0</v>
      </c>
      <c r="K15" s="14">
        <v>0</v>
      </c>
      <c r="L15" s="8">
        <v>0</v>
      </c>
      <c r="M15" s="12"/>
      <c r="N15" s="12"/>
      <c r="O15" s="12"/>
    </row>
    <row r="16" spans="2:15" s="13" customFormat="1" ht="15.45" customHeight="1" thickBot="1">
      <c r="B16" s="59"/>
      <c r="C16" s="56" t="s">
        <v>25</v>
      </c>
      <c r="D16" s="53">
        <v>5.7995670199999996</v>
      </c>
      <c r="E16" s="20">
        <v>0</v>
      </c>
      <c r="F16" s="21">
        <v>0</v>
      </c>
      <c r="G16" s="22">
        <f>[1]Sheet1!$AT$18</f>
        <v>0.17242666505128171</v>
      </c>
      <c r="H16" s="21">
        <v>0</v>
      </c>
      <c r="I16" s="8" t="s">
        <v>4</v>
      </c>
      <c r="J16" s="15">
        <f>[1]Sheet1!$AT$21</f>
        <v>0.17242666505128171</v>
      </c>
      <c r="K16" s="16">
        <v>0</v>
      </c>
      <c r="L16" s="17">
        <v>0</v>
      </c>
      <c r="M16" s="12"/>
      <c r="N16" s="12"/>
      <c r="O16" s="12"/>
    </row>
    <row r="17" spans="2:29" s="25" customFormat="1">
      <c r="B17" s="42"/>
      <c r="C17" s="44" t="s">
        <v>11</v>
      </c>
      <c r="D17" s="54">
        <v>86.97332109200002</v>
      </c>
      <c r="E17" s="45">
        <v>0.3449333614415635</v>
      </c>
      <c r="F17" s="45">
        <v>0.3449333614415635</v>
      </c>
      <c r="G17" s="45">
        <v>0.3449333614415635</v>
      </c>
      <c r="H17" s="45">
        <v>0.3449333614415635</v>
      </c>
      <c r="I17" s="46" t="s">
        <v>4</v>
      </c>
      <c r="J17" s="47">
        <v>2.8744446786796956E-3</v>
      </c>
      <c r="K17" s="47">
        <v>2.8744446786796956E-3</v>
      </c>
      <c r="L17" s="47">
        <v>2.8744446786796956E-3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9" spans="2:29" ht="14.55" hidden="1" customHeight="1">
      <c r="C19" s="27"/>
      <c r="D19" s="27"/>
      <c r="E19" s="28"/>
    </row>
    <row r="20" spans="2:29" ht="14.55" hidden="1" customHeight="1">
      <c r="C20" s="23"/>
      <c r="D20" s="23"/>
      <c r="E20" s="26"/>
    </row>
    <row r="21" spans="2:29" ht="14.55" hidden="1" customHeight="1">
      <c r="C21" s="26"/>
      <c r="D21" s="26"/>
      <c r="E21" s="26"/>
    </row>
    <row r="22" spans="2:29" ht="14.55" hidden="1" customHeight="1"/>
    <row r="23" spans="2:29" ht="14.55" hidden="1" customHeight="1"/>
  </sheetData>
  <mergeCells count="6">
    <mergeCell ref="B12:B16"/>
    <mergeCell ref="B4:B7"/>
    <mergeCell ref="B8:B11"/>
    <mergeCell ref="C1:L1"/>
    <mergeCell ref="E2:I2"/>
    <mergeCell ref="J2:L2"/>
  </mergeCells>
  <conditionalFormatting sqref="E4:E16">
    <cfRule type="colorScale" priority="1">
      <colorScale>
        <cfvo type="min"/>
        <cfvo type="formula" val="$E$17/2"/>
        <cfvo type="formula" val="$E$17"/>
        <color rgb="FFFF0000"/>
        <color rgb="FFFFFF00"/>
        <color rgb="FF00B050"/>
      </colorScale>
    </cfRule>
  </conditionalFormatting>
  <conditionalFormatting sqref="F4:F6">
    <cfRule type="colorScale" priority="7">
      <colorScale>
        <cfvo type="min"/>
        <cfvo type="formula" val="#REF!/2"/>
        <cfvo type="formula" val="#REF!"/>
        <color rgb="FFFF0000"/>
        <color rgb="FFFFFF00"/>
        <color rgb="FF00B050"/>
      </colorScale>
    </cfRule>
    <cfRule type="colorScale" priority="8">
      <colorScale>
        <cfvo type="min"/>
        <cfvo type="formula" val="MAX(#REF!)/2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" val="50"/>
        <cfvo type="num" val="0"/>
        <color rgb="FFF8696B"/>
        <color rgb="FFFFEB84"/>
        <color rgb="FF63BE7B"/>
      </colorScale>
    </cfRule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">
      <colorScale>
        <cfvo type="num" val="0"/>
        <cfvo type="num" val="0"/>
        <cfvo type="max"/>
        <color rgb="FF63BE7B"/>
        <color rgb="FFFFEB84"/>
        <color rgb="FFF8696B"/>
      </colorScale>
    </cfRule>
  </conditionalFormatting>
  <conditionalFormatting sqref="F7:F16">
    <cfRule type="colorScale" priority="50">
      <colorScale>
        <cfvo type="min"/>
        <cfvo type="formula" val="$F$17/2"/>
        <cfvo type="formula" val="$F$17"/>
        <color rgb="FFFF0000"/>
        <color rgb="FFFFFF00"/>
        <color rgb="FF00B050"/>
      </colorScale>
    </cfRule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2">
      <colorScale>
        <cfvo type="min"/>
        <cfvo type="percent" val="50"/>
        <cfvo type="num" val="0"/>
        <color rgb="FFF8696B"/>
        <color rgb="FFFFEB84"/>
        <color rgb="FF63BE7B"/>
      </colorScale>
    </cfRule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:G16">
    <cfRule type="colorScale" priority="54">
      <colorScale>
        <cfvo type="min"/>
        <cfvo type="formula" val="$G$17/2"/>
        <cfvo type="formula" val="$G$17"/>
        <color rgb="FFFF0000"/>
        <color rgb="FFFFFF00"/>
        <color rgb="FF00B050"/>
      </colorScale>
    </cfRule>
  </conditionalFormatting>
  <conditionalFormatting sqref="H4:H16">
    <cfRule type="colorScale" priority="55">
      <colorScale>
        <cfvo type="min"/>
        <cfvo type="formula" val="$H$17/2"/>
        <cfvo type="formula" val="$H$17"/>
        <color rgb="FFFF0000"/>
        <color rgb="FFFFFF00"/>
        <color rgb="FF00B050"/>
      </colorScale>
    </cfRule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16">
    <cfRule type="colorScale" priority="58">
      <colorScale>
        <cfvo type="min"/>
        <cfvo type="formula" val="$J$17/2"/>
        <cfvo type="formula" val="$J$17"/>
        <color rgb="FFFF0000"/>
        <color rgb="FFFFFF00"/>
        <color rgb="FF00B050"/>
      </colorScale>
    </cfRule>
  </conditionalFormatting>
  <conditionalFormatting sqref="K4:K16">
    <cfRule type="colorScale" priority="59">
      <colorScale>
        <cfvo type="min"/>
        <cfvo type="formula" val="$K$17/2"/>
        <cfvo type="formula" val="$K$17"/>
        <color rgb="FFFF0000"/>
        <color rgb="FFFFFF00"/>
        <color rgb="FF00B050"/>
      </colorScale>
    </cfRule>
  </conditionalFormatting>
  <conditionalFormatting sqref="L4:L16">
    <cfRule type="colorScale" priority="60">
      <colorScale>
        <cfvo type="min"/>
        <cfvo type="formula" val="$L$17/2"/>
        <cfvo type="formula" val="$L$17"/>
        <color rgb="FFFF0000"/>
        <color rgb="FFFFFF00"/>
        <color rgb="FF00B050"/>
      </colorScale>
    </cfRule>
    <cfRule type="colorScale" priority="61">
      <colorScale>
        <cfvo type="min"/>
        <cfvo type="formula" val="MAX($L$4:$L$16)/2"/>
        <cfvo type="max"/>
        <color rgb="FFF8696B"/>
        <color rgb="FFFFEB84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8" scale="88" orientation="landscape" r:id="rId1"/>
  <colBreaks count="1" manualBreakCount="1">
    <brk id="2" max="18" man="1"/>
  </colBreak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Reputation, Society</vt:lpstr>
      <vt:lpstr>'Reputation, Society'!Print_Area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2026-04-08T13:56:14Z</dcterms:created>
  <dcterms:modified xsi:type="dcterms:W3CDTF">2026-04-17T17:25:09Z</dcterms:modified>
</cp:coreProperties>
</file>