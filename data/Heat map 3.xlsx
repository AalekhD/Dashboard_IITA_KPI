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Learning\Miscellaneous\KPIDashboard\data\"/>
    </mc:Choice>
  </mc:AlternateContent>
  <xr:revisionPtr revIDLastSave="0" documentId="13_ncr:1_{68CECEC4-8248-407C-AA5F-3C4824E51D87}" xr6:coauthVersionLast="47" xr6:coauthVersionMax="47" xr10:uidLastSave="{00000000-0000-0000-0000-000000000000}"/>
  <bookViews>
    <workbookView xWindow="-108" yWindow="-108" windowWidth="23256" windowHeight="13896" xr2:uid="{45B3C54E-DB58-4340-A914-7AEE103F004F}"/>
  </bookViews>
  <sheets>
    <sheet name="Res, Cap, Product" sheetId="1" r:id="rId1"/>
  </sheets>
  <externalReferences>
    <externalReference r:id="rId2"/>
  </externalReferences>
  <definedNames>
    <definedName name="_Hlk200085589" localSheetId="0">'Res, Cap, Product'!#REF!</definedName>
    <definedName name="_xlnm.Print_Area" localSheetId="0">'Res, Cap, Product'!$A$1:$O$17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1" l="1"/>
</calcChain>
</file>

<file path=xl/sharedStrings.xml><?xml version="1.0" encoding="utf-8"?>
<sst xmlns="http://schemas.openxmlformats.org/spreadsheetml/2006/main" count="35" uniqueCount="35">
  <si>
    <t>KPI by $</t>
  </si>
  <si>
    <t>Research Outputs</t>
  </si>
  <si>
    <t>Training and Capacity Building</t>
  </si>
  <si>
    <t>Product Development</t>
  </si>
  <si>
    <t>Varieties released</t>
  </si>
  <si>
    <t>Annual rate of genetic gain, by crop (%)</t>
  </si>
  <si>
    <t>Breeding</t>
  </si>
  <si>
    <t>Genebanks</t>
  </si>
  <si>
    <t>Seed System</t>
  </si>
  <si>
    <t>Plant Health</t>
  </si>
  <si>
    <t>Farming Systems Agronomy</t>
  </si>
  <si>
    <t>Mechanization</t>
  </si>
  <si>
    <t>per Program Target (target/13)</t>
  </si>
  <si>
    <t>Thompson indexed publications</t>
  </si>
  <si>
    <t>Publications per IRS</t>
  </si>
  <si>
    <t>High impact publications &gt;10</t>
  </si>
  <si>
    <t xml:space="preserve">PhD and MsC students enrolled </t>
  </si>
  <si>
    <t>PhD and MSc thesis accepted</t>
  </si>
  <si>
    <t>Delivery partners trained</t>
  </si>
  <si>
    <t>National scientists trained</t>
  </si>
  <si>
    <t>Crop Trust performance compliance rate</t>
  </si>
  <si>
    <t>Innovations in TAAT e-catalog</t>
  </si>
  <si>
    <t>Innovations taken on by scaling partners</t>
  </si>
  <si>
    <t>Natural Resource Management</t>
  </si>
  <si>
    <t>Foresight &amp; Impact Assessment</t>
  </si>
  <si>
    <t>Gender, Youth &amp; Social Inclusion</t>
  </si>
  <si>
    <t>Reslience &amp; Climate Adaptation</t>
  </si>
  <si>
    <t>Nutrition and Health</t>
  </si>
  <si>
    <t>Value Chain Markets and Agribusiness</t>
  </si>
  <si>
    <t>Genetic Innovation</t>
  </si>
  <si>
    <t>Resilient Agrifood Systems</t>
  </si>
  <si>
    <t>Systems Transformation</t>
  </si>
  <si>
    <t>USD (million)</t>
  </si>
  <si>
    <t>IITA Program</t>
  </si>
  <si>
    <t>Biotechnology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</si>
</sst>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"/>
    <numFmt numFmtId="167" formatCode="_(* #,##0.0_);_(* \(#,##0.0\);_(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sz val="14"/>
      <color theme="1"/>
      <name val="Aptos Narrow"/>
      <family val="2"/>
      <scheme val="minor"/>
    </font>
    <font>
      <sz val="9"/>
      <color rgb="FF000000"/>
      <name val="Calibri"/>
      <family val="2"/>
    </font>
    <font>
      <sz val="9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9"/>
      <color theme="1"/>
      <name val="Calibri"/>
      <family val="2"/>
    </font>
    <font>
      <sz val="9"/>
      <color rgb="FFFF0000"/>
      <name val="Calibri"/>
      <family val="2"/>
    </font>
    <font>
      <b/>
      <sz val="9"/>
      <color theme="1"/>
      <name val="Aptos Narrow"/>
      <family val="2"/>
      <scheme val="minor"/>
    </font>
    <font>
      <b/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</fills>
  <borders count="35">
    <border>
      <left/>
      <right/>
      <top/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theme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2">
    <xf numFmtId="0" fontId="0" fillId="0" borderId="0" xfId="0"/>
    <xf numFmtId="0" fontId="3" fillId="0" borderId="0" xfId="0" applyFont="1" applyAlignment="1">
      <alignment vertical="top"/>
    </xf>
    <xf numFmtId="165" fontId="2" fillId="0" borderId="0" xfId="0" applyNumberFormat="1" applyFont="1"/>
    <xf numFmtId="0" fontId="2" fillId="0" borderId="6" xfId="0" applyFont="1" applyBorder="1" applyAlignment="1">
      <alignment horizontal="left" vertical="top" readingOrder="1"/>
    </xf>
    <xf numFmtId="165" fontId="5" fillId="0" borderId="0" xfId="0" applyNumberFormat="1" applyFont="1"/>
    <xf numFmtId="0" fontId="5" fillId="0" borderId="0" xfId="0" applyFont="1"/>
    <xf numFmtId="0" fontId="4" fillId="0" borderId="4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6" fillId="0" borderId="0" xfId="0" applyFont="1"/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165" fontId="7" fillId="0" borderId="0" xfId="0" applyNumberFormat="1" applyFont="1"/>
    <xf numFmtId="165" fontId="2" fillId="0" borderId="0" xfId="0" applyNumberFormat="1" applyFont="1" applyAlignment="1">
      <alignment vertical="top"/>
    </xf>
    <xf numFmtId="165" fontId="9" fillId="0" borderId="0" xfId="0" applyNumberFormat="1" applyFont="1"/>
    <xf numFmtId="2" fontId="2" fillId="0" borderId="11" xfId="1" applyNumberFormat="1" applyFont="1" applyBorder="1" applyAlignment="1">
      <alignment horizontal="right"/>
    </xf>
    <xf numFmtId="2" fontId="2" fillId="0" borderId="11" xfId="0" applyNumberFormat="1" applyFont="1" applyBorder="1" applyAlignment="1">
      <alignment horizontal="right"/>
    </xf>
    <xf numFmtId="167" fontId="4" fillId="0" borderId="15" xfId="1" applyNumberFormat="1" applyFont="1" applyBorder="1" applyAlignment="1">
      <alignment vertical="center" wrapText="1"/>
    </xf>
    <xf numFmtId="167" fontId="4" fillId="0" borderId="16" xfId="1" applyNumberFormat="1" applyFont="1" applyBorder="1" applyAlignment="1">
      <alignment vertical="center" wrapText="1"/>
    </xf>
    <xf numFmtId="167" fontId="4" fillId="0" borderId="17" xfId="1" applyNumberFormat="1" applyFont="1" applyBorder="1" applyAlignment="1">
      <alignment vertical="center" wrapText="1"/>
    </xf>
    <xf numFmtId="167" fontId="4" fillId="0" borderId="18" xfId="1" applyNumberFormat="1" applyFont="1" applyBorder="1" applyAlignment="1">
      <alignment vertical="center" wrapText="1"/>
    </xf>
    <xf numFmtId="167" fontId="4" fillId="0" borderId="19" xfId="1" applyNumberFormat="1" applyFont="1" applyBorder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 textRotation="90" wrapText="1"/>
    </xf>
    <xf numFmtId="0" fontId="7" fillId="2" borderId="12" xfId="0" applyFont="1" applyFill="1" applyBorder="1" applyAlignment="1">
      <alignment horizontal="center" vertical="center" textRotation="90" wrapText="1"/>
    </xf>
    <xf numFmtId="0" fontId="7" fillId="2" borderId="14" xfId="0" applyFont="1" applyFill="1" applyBorder="1" applyAlignment="1">
      <alignment horizontal="center" vertical="center" textRotation="90" wrapText="1"/>
    </xf>
    <xf numFmtId="165" fontId="9" fillId="0" borderId="0" xfId="0" applyNumberFormat="1" applyFont="1" applyFill="1" applyAlignment="1">
      <alignment horizontal="center"/>
    </xf>
    <xf numFmtId="165" fontId="9" fillId="0" borderId="20" xfId="0" applyNumberFormat="1" applyFont="1" applyFill="1" applyBorder="1" applyAlignment="1">
      <alignment horizontal="center"/>
    </xf>
    <xf numFmtId="0" fontId="10" fillId="0" borderId="7" xfId="0" applyFont="1" applyBorder="1" applyAlignment="1">
      <alignment horizontal="center" textRotation="90" wrapText="1" readingOrder="1"/>
    </xf>
    <xf numFmtId="0" fontId="10" fillId="0" borderId="8" xfId="0" applyFont="1" applyBorder="1" applyAlignment="1">
      <alignment horizontal="center" textRotation="90" wrapText="1" readingOrder="1"/>
    </xf>
    <xf numFmtId="0" fontId="10" fillId="0" borderId="9" xfId="0" applyFont="1" applyBorder="1" applyAlignment="1">
      <alignment horizontal="center" textRotation="90" wrapText="1" readingOrder="1"/>
    </xf>
    <xf numFmtId="0" fontId="7" fillId="0" borderId="8" xfId="0" applyFont="1" applyBorder="1" applyAlignment="1">
      <alignment horizontal="center" textRotation="90" wrapText="1" readingOrder="1"/>
    </xf>
    <xf numFmtId="0" fontId="7" fillId="2" borderId="5" xfId="0" applyFont="1" applyFill="1" applyBorder="1" applyAlignment="1">
      <alignment horizontal="center" vertical="top"/>
    </xf>
    <xf numFmtId="0" fontId="7" fillId="2" borderId="1" xfId="0" applyFont="1" applyFill="1" applyBorder="1" applyAlignment="1">
      <alignment horizontal="center" vertical="top"/>
    </xf>
    <xf numFmtId="0" fontId="7" fillId="2" borderId="1" xfId="0" applyFont="1" applyFill="1" applyBorder="1" applyAlignment="1">
      <alignment horizontal="center" vertical="top"/>
    </xf>
    <xf numFmtId="0" fontId="7" fillId="2" borderId="2" xfId="0" applyFont="1" applyFill="1" applyBorder="1" applyAlignment="1">
      <alignment horizontal="center" vertical="top"/>
    </xf>
    <xf numFmtId="0" fontId="7" fillId="2" borderId="3" xfId="0" applyFont="1" applyFill="1" applyBorder="1" applyAlignment="1">
      <alignment horizontal="center" vertical="top"/>
    </xf>
    <xf numFmtId="0" fontId="7" fillId="2" borderId="1" xfId="0" applyFont="1" applyFill="1" applyBorder="1" applyAlignment="1">
      <alignment horizontal="center" vertical="top" wrapText="1"/>
    </xf>
    <xf numFmtId="0" fontId="7" fillId="2" borderId="2" xfId="0" applyFont="1" applyFill="1" applyBorder="1" applyAlignment="1">
      <alignment horizontal="center" vertical="top" wrapText="1"/>
    </xf>
    <xf numFmtId="0" fontId="7" fillId="2" borderId="3" xfId="0" applyFont="1" applyFill="1" applyBorder="1" applyAlignment="1">
      <alignment horizontal="center" vertical="top" wrapText="1"/>
    </xf>
    <xf numFmtId="2" fontId="2" fillId="0" borderId="21" xfId="0" applyNumberFormat="1" applyFont="1" applyBorder="1" applyAlignment="1">
      <alignment horizontal="right"/>
    </xf>
    <xf numFmtId="2" fontId="2" fillId="0" borderId="22" xfId="1" applyNumberFormat="1" applyFont="1" applyBorder="1" applyAlignment="1">
      <alignment horizontal="right"/>
    </xf>
    <xf numFmtId="2" fontId="2" fillId="0" borderId="23" xfId="2" applyNumberFormat="1" applyFont="1" applyBorder="1" applyAlignment="1">
      <alignment horizontal="right"/>
    </xf>
    <xf numFmtId="2" fontId="2" fillId="0" borderId="24" xfId="0" applyNumberFormat="1" applyFont="1" applyBorder="1" applyAlignment="1">
      <alignment horizontal="right"/>
    </xf>
    <xf numFmtId="2" fontId="2" fillId="0" borderId="25" xfId="2" applyNumberFormat="1" applyFont="1" applyBorder="1" applyAlignment="1">
      <alignment horizontal="right"/>
    </xf>
    <xf numFmtId="2" fontId="2" fillId="0" borderId="26" xfId="0" applyNumberFormat="1" applyFont="1" applyBorder="1" applyAlignment="1">
      <alignment horizontal="right"/>
    </xf>
    <xf numFmtId="2" fontId="2" fillId="0" borderId="27" xfId="1" applyNumberFormat="1" applyFont="1" applyBorder="1" applyAlignment="1">
      <alignment horizontal="right"/>
    </xf>
    <xf numFmtId="2" fontId="2" fillId="0" borderId="28" xfId="2" applyNumberFormat="1" applyFont="1" applyBorder="1" applyAlignment="1">
      <alignment horizontal="right"/>
    </xf>
    <xf numFmtId="2" fontId="2" fillId="0" borderId="22" xfId="0" applyNumberFormat="1" applyFont="1" applyBorder="1" applyAlignment="1">
      <alignment horizontal="right"/>
    </xf>
    <xf numFmtId="2" fontId="2" fillId="0" borderId="23" xfId="0" applyNumberFormat="1" applyFont="1" applyBorder="1" applyAlignment="1">
      <alignment horizontal="right"/>
    </xf>
    <xf numFmtId="2" fontId="2" fillId="0" borderId="25" xfId="0" applyNumberFormat="1" applyFont="1" applyBorder="1" applyAlignment="1">
      <alignment horizontal="right"/>
    </xf>
    <xf numFmtId="2" fontId="2" fillId="0" borderId="27" xfId="0" applyNumberFormat="1" applyFont="1" applyBorder="1" applyAlignment="1">
      <alignment horizontal="right"/>
    </xf>
    <xf numFmtId="2" fontId="2" fillId="0" borderId="28" xfId="0" applyNumberFormat="1" applyFont="1" applyBorder="1" applyAlignment="1">
      <alignment horizontal="right"/>
    </xf>
    <xf numFmtId="0" fontId="4" fillId="0" borderId="29" xfId="0" applyFont="1" applyBorder="1" applyAlignment="1">
      <alignment horizontal="left" vertical="center" wrapText="1"/>
    </xf>
    <xf numFmtId="167" fontId="4" fillId="0" borderId="30" xfId="1" applyNumberFormat="1" applyFont="1" applyBorder="1" applyAlignment="1">
      <alignment vertical="center" wrapText="1"/>
    </xf>
    <xf numFmtId="0" fontId="7" fillId="3" borderId="31" xfId="0" applyFont="1" applyFill="1" applyBorder="1" applyAlignment="1">
      <alignment horizontal="left"/>
    </xf>
    <xf numFmtId="167" fontId="2" fillId="3" borderId="32" xfId="1" applyNumberFormat="1" applyFont="1" applyFill="1" applyBorder="1" applyAlignment="1"/>
    <xf numFmtId="164" fontId="7" fillId="3" borderId="33" xfId="1" applyFont="1" applyFill="1" applyBorder="1" applyAlignment="1">
      <alignment horizontal="right"/>
    </xf>
    <xf numFmtId="164" fontId="7" fillId="3" borderId="34" xfId="1" applyFont="1" applyFill="1" applyBorder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giar-my.sharepoint.com/personal/s_lewis_cgiar_org/Documents/TAAT/R4D/KPIS/DASHBOARD/calculations%20-%20KPI%20by%20FTE%20and%20$.xlsx" TargetMode="External"/><Relationship Id="rId1" Type="http://schemas.openxmlformats.org/officeDocument/2006/relationships/externalLinkPath" Target="https://cgiar-my.sharepoint.com/personal/s_lewis_cgiar_org/Documents/TAAT/R4D/KPIS/DASHBOARD/calculations%20-%20KPI%20by%20FTE%20and%20$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 1"/>
      <sheetName val="PR 2"/>
      <sheetName val="PR 3"/>
      <sheetName val="PR 4"/>
      <sheetName val="PR 5"/>
      <sheetName val="PR 6"/>
      <sheetName val="PR 7"/>
      <sheetName val="PR 8"/>
      <sheetName val="PR 9"/>
      <sheetName val="PR 10"/>
      <sheetName val="PR 11"/>
      <sheetName val="PR 12"/>
      <sheetName val="PR 13"/>
      <sheetName val="PR 14"/>
      <sheetName val="PR15"/>
      <sheetName val="PR 16"/>
      <sheetName val="PR 18"/>
      <sheetName val="PR 19"/>
      <sheetName val="PR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4">
          <cell r="G4">
            <v>0.65217391304347827</v>
          </cell>
        </row>
      </sheetData>
      <sheetData sheetId="8">
        <row r="4">
          <cell r="G4">
            <v>6.521739130434782E-4</v>
          </cell>
        </row>
      </sheetData>
      <sheetData sheetId="9">
        <row r="5">
          <cell r="G5">
            <v>0.25</v>
          </cell>
          <cell r="H5">
            <v>0.28541663693576702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88F41-317A-416A-97E9-EC5FF06475CE}">
  <sheetPr>
    <tabColor rgb="FFFF0000"/>
    <pageSetUpPr fitToPage="1"/>
  </sheetPr>
  <dimension ref="A1:O22"/>
  <sheetViews>
    <sheetView tabSelected="1" zoomScale="115" zoomScaleNormal="115" zoomScaleSheetLayoutView="75" workbookViewId="0">
      <selection activeCell="S10" sqref="S10"/>
    </sheetView>
  </sheetViews>
  <sheetFormatPr defaultRowHeight="14.4" x14ac:dyDescent="0.3"/>
  <cols>
    <col min="1" max="1" width="8" style="15" customWidth="1"/>
    <col min="2" max="2" width="37.109375" style="4" customWidth="1"/>
    <col min="3" max="3" width="5.77734375" style="4" customWidth="1"/>
    <col min="4" max="8" width="6.77734375" style="4" customWidth="1"/>
    <col min="9" max="9" width="11.44140625" style="4" bestFit="1" customWidth="1"/>
    <col min="10" max="11" width="6.77734375" style="4" customWidth="1"/>
    <col min="12" max="12" width="8.33203125" style="4" customWidth="1"/>
    <col min="13" max="15" width="6.77734375" style="4" customWidth="1"/>
  </cols>
  <sheetData>
    <row r="1" spans="1:15" ht="15" thickBot="1" x14ac:dyDescent="0.35">
      <c r="A1" s="2"/>
      <c r="B1" s="23" t="s">
        <v>0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5"/>
    </row>
    <row r="2" spans="1:15" s="1" customFormat="1" ht="18.600000000000001" thickBot="1" x14ac:dyDescent="0.35">
      <c r="A2" s="14"/>
      <c r="B2" s="35" t="s">
        <v>33</v>
      </c>
      <c r="C2" s="36"/>
      <c r="D2" s="37" t="s">
        <v>1</v>
      </c>
      <c r="E2" s="38"/>
      <c r="F2" s="39"/>
      <c r="G2" s="40" t="s">
        <v>2</v>
      </c>
      <c r="H2" s="41"/>
      <c r="I2" s="41"/>
      <c r="J2" s="42"/>
      <c r="K2" s="40" t="s">
        <v>3</v>
      </c>
      <c r="L2" s="41"/>
      <c r="M2" s="41"/>
      <c r="N2" s="41"/>
      <c r="O2" s="42"/>
    </row>
    <row r="3" spans="1:15" s="5" customFormat="1" ht="143.55000000000001" customHeight="1" thickBot="1" x14ac:dyDescent="0.3">
      <c r="A3" s="13"/>
      <c r="B3" s="3"/>
      <c r="C3" s="31" t="s">
        <v>32</v>
      </c>
      <c r="D3" s="31" t="s">
        <v>13</v>
      </c>
      <c r="E3" s="32" t="s">
        <v>14</v>
      </c>
      <c r="F3" s="33" t="s">
        <v>15</v>
      </c>
      <c r="G3" s="31" t="s">
        <v>16</v>
      </c>
      <c r="H3" s="32" t="s">
        <v>17</v>
      </c>
      <c r="I3" s="32" t="s">
        <v>18</v>
      </c>
      <c r="J3" s="33" t="s">
        <v>19</v>
      </c>
      <c r="K3" s="31" t="s">
        <v>4</v>
      </c>
      <c r="L3" s="34" t="s">
        <v>5</v>
      </c>
      <c r="M3" s="34" t="s">
        <v>20</v>
      </c>
      <c r="N3" s="32" t="s">
        <v>21</v>
      </c>
      <c r="O3" s="33" t="s">
        <v>22</v>
      </c>
    </row>
    <row r="4" spans="1:15" ht="15.45" customHeight="1" x14ac:dyDescent="0.3">
      <c r="A4" s="26" t="s">
        <v>29</v>
      </c>
      <c r="B4" s="6" t="s">
        <v>34</v>
      </c>
      <c r="C4" s="18">
        <v>3.4135987800000001</v>
      </c>
      <c r="D4" s="43">
        <v>6.4448113026335205</v>
      </c>
      <c r="E4" s="44">
        <v>0.9185948577454921</v>
      </c>
      <c r="F4" s="45">
        <v>0.2929459683015237</v>
      </c>
      <c r="G4" s="43">
        <v>0.2929459683015237</v>
      </c>
      <c r="H4" s="51">
        <v>0.2929459683015237</v>
      </c>
      <c r="I4" s="51">
        <v>19.920325844503608</v>
      </c>
      <c r="J4" s="52">
        <v>53.902058167480362</v>
      </c>
      <c r="K4" s="43">
        <v>0</v>
      </c>
      <c r="L4" s="51">
        <v>0</v>
      </c>
      <c r="M4" s="51">
        <v>0</v>
      </c>
      <c r="N4" s="51">
        <v>0.2929459683015237</v>
      </c>
      <c r="O4" s="52">
        <v>0</v>
      </c>
    </row>
    <row r="5" spans="1:15" ht="15.6" customHeight="1" x14ac:dyDescent="0.3">
      <c r="A5" s="27"/>
      <c r="B5" s="7" t="s">
        <v>6</v>
      </c>
      <c r="C5" s="19">
        <v>12.720419820000002</v>
      </c>
      <c r="D5" s="46">
        <v>4.0486085151865678</v>
      </c>
      <c r="E5" s="16">
        <v>0.17585555770903244</v>
      </c>
      <c r="F5" s="47">
        <v>0</v>
      </c>
      <c r="G5" s="46">
        <v>1.8867301818345172</v>
      </c>
      <c r="H5" s="17">
        <v>2.20118521214027</v>
      </c>
      <c r="I5" s="17">
        <v>8.4902858182553285</v>
      </c>
      <c r="J5" s="53">
        <v>16.823344121357778</v>
      </c>
      <c r="K5" s="46">
        <v>1.18</v>
      </c>
      <c r="L5" s="17">
        <v>0</v>
      </c>
      <c r="M5" s="17">
        <v>0</v>
      </c>
      <c r="N5" s="17">
        <v>0.62891006061150567</v>
      </c>
      <c r="O5" s="53">
        <v>0.39306878788219107</v>
      </c>
    </row>
    <row r="6" spans="1:15" ht="15.6" customHeight="1" x14ac:dyDescent="0.3">
      <c r="A6" s="27"/>
      <c r="B6" s="7" t="s">
        <v>7</v>
      </c>
      <c r="C6" s="19">
        <v>3.5036499999999999</v>
      </c>
      <c r="D6" s="46">
        <v>1.427083184678835</v>
      </c>
      <c r="E6" s="16">
        <v>0.35677079616970875</v>
      </c>
      <c r="F6" s="47">
        <v>0</v>
      </c>
      <c r="G6" s="46">
        <v>7.4208325603299423</v>
      </c>
      <c r="H6" s="17">
        <v>5.4229161017795731</v>
      </c>
      <c r="I6" s="17">
        <v>1.427083184678835</v>
      </c>
      <c r="J6" s="53">
        <v>32.252079973741665</v>
      </c>
      <c r="K6" s="46">
        <v>0</v>
      </c>
      <c r="L6" s="17">
        <v>0</v>
      </c>
      <c r="M6" s="17">
        <f>'[1]PR 10'!$H$5</f>
        <v>0.28541663693576702</v>
      </c>
      <c r="N6" s="17">
        <v>0</v>
      </c>
      <c r="O6" s="53">
        <v>0</v>
      </c>
    </row>
    <row r="7" spans="1:15" ht="15.6" customHeight="1" thickBot="1" x14ac:dyDescent="0.35">
      <c r="A7" s="28"/>
      <c r="B7" s="8" t="s">
        <v>8</v>
      </c>
      <c r="C7" s="20">
        <v>21.304912170000001</v>
      </c>
      <c r="D7" s="46">
        <v>0.72283799515893521</v>
      </c>
      <c r="E7" s="16">
        <v>4.8189199677262338E-2</v>
      </c>
      <c r="F7" s="47">
        <v>0</v>
      </c>
      <c r="G7" s="46">
        <v>0.23468766076588804</v>
      </c>
      <c r="H7" s="17">
        <v>0.32856272507224321</v>
      </c>
      <c r="I7" s="17">
        <v>105.46863474819008</v>
      </c>
      <c r="J7" s="53">
        <v>14.50369743533188</v>
      </c>
      <c r="K7" s="46">
        <v>0</v>
      </c>
      <c r="L7" s="17">
        <v>0</v>
      </c>
      <c r="M7" s="17">
        <v>0</v>
      </c>
      <c r="N7" s="17">
        <v>0.79793804660401935</v>
      </c>
      <c r="O7" s="53">
        <v>9.3875064306355213E-2</v>
      </c>
    </row>
    <row r="8" spans="1:15" ht="15.6" customHeight="1" x14ac:dyDescent="0.3">
      <c r="A8" s="26" t="s">
        <v>30</v>
      </c>
      <c r="B8" s="6" t="s">
        <v>9</v>
      </c>
      <c r="C8" s="18">
        <v>7.721148311538462</v>
      </c>
      <c r="D8" s="46">
        <v>5.3683724657972496</v>
      </c>
      <c r="E8" s="16">
        <v>0.44736437214977082</v>
      </c>
      <c r="F8" s="47">
        <v>0.12951441413262363</v>
      </c>
      <c r="G8" s="46">
        <v>1.1656297271936127</v>
      </c>
      <c r="H8" s="17">
        <v>1.1656297271936127</v>
      </c>
      <c r="I8" s="17">
        <v>13.210470241527611</v>
      </c>
      <c r="J8" s="53">
        <v>1.2951441413262363</v>
      </c>
      <c r="K8" s="46">
        <v>0</v>
      </c>
      <c r="L8" s="17">
        <v>0</v>
      </c>
      <c r="M8" s="17">
        <v>0</v>
      </c>
      <c r="N8" s="17">
        <v>0.77708648479574172</v>
      </c>
      <c r="O8" s="53">
        <v>0.25902882826524726</v>
      </c>
    </row>
    <row r="9" spans="1:15" ht="15.6" customHeight="1" x14ac:dyDescent="0.3">
      <c r="A9" s="27"/>
      <c r="B9" s="7" t="s">
        <v>10</v>
      </c>
      <c r="C9" s="19">
        <v>12.273168915897436</v>
      </c>
      <c r="D9" s="46">
        <v>1.7004573263036482</v>
      </c>
      <c r="E9" s="16">
        <v>8.5022866315182424E-2</v>
      </c>
      <c r="F9" s="47">
        <v>6.7627196014951027E-2</v>
      </c>
      <c r="G9" s="46">
        <v>1.7925280871432805</v>
      </c>
      <c r="H9" s="17">
        <v>1.1406996918184511</v>
      </c>
      <c r="I9" s="17">
        <v>259.50917988869764</v>
      </c>
      <c r="J9" s="53">
        <v>18.984502013835652</v>
      </c>
      <c r="K9" s="46">
        <v>0</v>
      </c>
      <c r="L9" s="17">
        <v>0</v>
      </c>
      <c r="M9" s="17">
        <v>0</v>
      </c>
      <c r="N9" s="17">
        <v>8.147854941560366E-2</v>
      </c>
      <c r="O9" s="53">
        <v>0.7333069447404329</v>
      </c>
    </row>
    <row r="10" spans="1:15" ht="15.6" customHeight="1" x14ac:dyDescent="0.3">
      <c r="A10" s="27"/>
      <c r="B10" s="7" t="s">
        <v>23</v>
      </c>
      <c r="C10" s="19">
        <v>7.1819852465641034</v>
      </c>
      <c r="D10" s="46">
        <v>2.1581776441848408</v>
      </c>
      <c r="E10" s="16">
        <v>0.30831109202640583</v>
      </c>
      <c r="F10" s="47">
        <v>0.27847453473352785</v>
      </c>
      <c r="G10" s="46">
        <v>0.97466087156734749</v>
      </c>
      <c r="H10" s="17">
        <v>0.4177118021002918</v>
      </c>
      <c r="I10" s="17">
        <v>522.69670169483186</v>
      </c>
      <c r="J10" s="53">
        <v>2.7847453473352788</v>
      </c>
      <c r="K10" s="46">
        <v>0</v>
      </c>
      <c r="L10" s="17">
        <v>0</v>
      </c>
      <c r="M10" s="17">
        <v>0</v>
      </c>
      <c r="N10" s="17">
        <v>1.3923726736676394</v>
      </c>
      <c r="O10" s="53">
        <v>0.27847453473352785</v>
      </c>
    </row>
    <row r="11" spans="1:15" ht="15.6" customHeight="1" thickBot="1" x14ac:dyDescent="0.35">
      <c r="A11" s="28"/>
      <c r="B11" s="8" t="s">
        <v>11</v>
      </c>
      <c r="C11" s="20">
        <v>0.57107699999999995</v>
      </c>
      <c r="D11" s="46">
        <v>0</v>
      </c>
      <c r="E11" s="16">
        <v>0</v>
      </c>
      <c r="F11" s="47">
        <v>0</v>
      </c>
      <c r="G11" s="46">
        <v>3.5021547006795934</v>
      </c>
      <c r="H11" s="17">
        <v>1.7510773503397967</v>
      </c>
      <c r="I11" s="17">
        <v>0</v>
      </c>
      <c r="J11" s="53">
        <v>0</v>
      </c>
      <c r="K11" s="46">
        <v>0</v>
      </c>
      <c r="L11" s="17">
        <v>0</v>
      </c>
      <c r="M11" s="17">
        <v>0</v>
      </c>
      <c r="N11" s="17">
        <v>5.2532320510193893</v>
      </c>
      <c r="O11" s="53">
        <v>5.2532320510193893</v>
      </c>
    </row>
    <row r="12" spans="1:15" ht="15.6" customHeight="1" x14ac:dyDescent="0.3">
      <c r="A12" s="26" t="s">
        <v>31</v>
      </c>
      <c r="B12" s="6" t="s">
        <v>24</v>
      </c>
      <c r="C12" s="21">
        <v>1.3649733500000001</v>
      </c>
      <c r="D12" s="46">
        <v>7.267541157488532</v>
      </c>
      <c r="E12" s="16">
        <v>0.66068555977168475</v>
      </c>
      <c r="F12" s="47">
        <v>0</v>
      </c>
      <c r="G12" s="46">
        <v>3.6630751801857522</v>
      </c>
      <c r="H12" s="17">
        <v>3.6630751801857522</v>
      </c>
      <c r="I12" s="17">
        <v>68.865813387492139</v>
      </c>
      <c r="J12" s="53">
        <v>79.855038928049396</v>
      </c>
      <c r="K12" s="46">
        <v>0</v>
      </c>
      <c r="L12" s="17">
        <v>0</v>
      </c>
      <c r="M12" s="17">
        <v>0</v>
      </c>
      <c r="N12" s="17">
        <v>0</v>
      </c>
      <c r="O12" s="53">
        <v>0</v>
      </c>
    </row>
    <row r="13" spans="1:15" ht="15.6" customHeight="1" x14ac:dyDescent="0.3">
      <c r="A13" s="27"/>
      <c r="B13" s="7" t="s">
        <v>25</v>
      </c>
      <c r="C13" s="22">
        <v>7.5363555180000006</v>
      </c>
      <c r="D13" s="46">
        <v>0.8757548637715421</v>
      </c>
      <c r="E13" s="16">
        <v>7.9614078524685647E-2</v>
      </c>
      <c r="F13" s="47">
        <v>0</v>
      </c>
      <c r="G13" s="46">
        <v>0.53076052349790426</v>
      </c>
      <c r="H13" s="17">
        <v>0.39807039262342825</v>
      </c>
      <c r="I13" s="17">
        <v>253.70353023199826</v>
      </c>
      <c r="J13" s="53">
        <v>20.699660416418268</v>
      </c>
      <c r="K13" s="46">
        <v>0</v>
      </c>
      <c r="L13" s="17">
        <v>0</v>
      </c>
      <c r="M13" s="17">
        <v>0</v>
      </c>
      <c r="N13" s="17">
        <v>0.33172532718619019</v>
      </c>
      <c r="O13" s="53">
        <v>0</v>
      </c>
    </row>
    <row r="14" spans="1:15" ht="15.6" customHeight="1" x14ac:dyDescent="0.3">
      <c r="A14" s="27"/>
      <c r="B14" s="7" t="s">
        <v>26</v>
      </c>
      <c r="C14" s="22">
        <v>2.1255060000000001</v>
      </c>
      <c r="D14" s="46">
        <v>6.2714478340686881</v>
      </c>
      <c r="E14" s="16">
        <v>1.2542895668137375</v>
      </c>
      <c r="F14" s="47">
        <v>0.47047620660680323</v>
      </c>
      <c r="G14" s="46">
        <v>0.47047620660680323</v>
      </c>
      <c r="H14" s="17">
        <v>0.94095241321360645</v>
      </c>
      <c r="I14" s="17">
        <v>0</v>
      </c>
      <c r="J14" s="53">
        <v>0</v>
      </c>
      <c r="K14" s="46">
        <v>0</v>
      </c>
      <c r="L14" s="17">
        <v>0</v>
      </c>
      <c r="M14" s="17">
        <v>0</v>
      </c>
      <c r="N14" s="17">
        <v>1.1761905165170081</v>
      </c>
      <c r="O14" s="53">
        <v>0</v>
      </c>
    </row>
    <row r="15" spans="1:15" ht="15.6" customHeight="1" x14ac:dyDescent="0.3">
      <c r="A15" s="27"/>
      <c r="B15" s="7" t="s">
        <v>27</v>
      </c>
      <c r="C15" s="22">
        <v>1.4569589599999999</v>
      </c>
      <c r="D15" s="46">
        <v>8.5795141408787519</v>
      </c>
      <c r="E15" s="16">
        <v>2.144878535219688</v>
      </c>
      <c r="F15" s="47">
        <v>0</v>
      </c>
      <c r="G15" s="46">
        <v>1.3727222625406004</v>
      </c>
      <c r="H15" s="17">
        <v>5.4908890501624015</v>
      </c>
      <c r="I15" s="17">
        <v>89.226947065139029</v>
      </c>
      <c r="J15" s="53">
        <v>10.295416969054504</v>
      </c>
      <c r="K15" s="46">
        <v>0</v>
      </c>
      <c r="L15" s="17">
        <v>0</v>
      </c>
      <c r="M15" s="17">
        <v>0</v>
      </c>
      <c r="N15" s="17">
        <v>0</v>
      </c>
      <c r="O15" s="53">
        <v>0</v>
      </c>
    </row>
    <row r="16" spans="1:15" ht="15.6" customHeight="1" thickBot="1" x14ac:dyDescent="0.35">
      <c r="A16" s="28"/>
      <c r="B16" s="56" t="s">
        <v>28</v>
      </c>
      <c r="C16" s="57">
        <v>5.7995670199999996</v>
      </c>
      <c r="D16" s="48">
        <v>0.51727999515384515</v>
      </c>
      <c r="E16" s="49">
        <v>5.1727999515384517E-2</v>
      </c>
      <c r="F16" s="50">
        <v>0</v>
      </c>
      <c r="G16" s="48">
        <v>0.86213332525640862</v>
      </c>
      <c r="H16" s="54">
        <v>0.51727999515384515</v>
      </c>
      <c r="I16" s="54">
        <v>173.63365170664068</v>
      </c>
      <c r="J16" s="55">
        <v>13.966559869153819</v>
      </c>
      <c r="K16" s="48">
        <v>0</v>
      </c>
      <c r="L16" s="54">
        <v>0</v>
      </c>
      <c r="M16" s="54">
        <v>0</v>
      </c>
      <c r="N16" s="54">
        <v>0</v>
      </c>
      <c r="O16" s="55">
        <v>0</v>
      </c>
    </row>
    <row r="17" spans="1:15" s="9" customFormat="1" ht="15" thickBot="1" x14ac:dyDescent="0.35">
      <c r="A17" s="30"/>
      <c r="B17" s="58" t="s">
        <v>12</v>
      </c>
      <c r="C17" s="59">
        <v>86.97332109200002</v>
      </c>
      <c r="D17" s="60">
        <v>3.1273958104035091</v>
      </c>
      <c r="E17" s="60">
        <v>2.2995557429437565E-2</v>
      </c>
      <c r="F17" s="60">
        <v>0.14947112329134418</v>
      </c>
      <c r="G17" s="60">
        <v>1.7246668072078175</v>
      </c>
      <c r="H17" s="60">
        <v>0.689866722883127</v>
      </c>
      <c r="I17" s="60">
        <v>137.97334457662541</v>
      </c>
      <c r="J17" s="60">
        <v>1.7246668072078175</v>
      </c>
      <c r="K17" s="60">
        <v>0</v>
      </c>
      <c r="L17" s="60">
        <v>0</v>
      </c>
      <c r="M17" s="60">
        <v>0</v>
      </c>
      <c r="N17" s="60">
        <v>0.22995557429437566</v>
      </c>
      <c r="O17" s="61">
        <v>0.3449333614415635</v>
      </c>
    </row>
    <row r="18" spans="1:15" x14ac:dyDescent="0.3">
      <c r="A18" s="29"/>
    </row>
    <row r="19" spans="1:15" hidden="1" x14ac:dyDescent="0.3">
      <c r="B19" s="10"/>
      <c r="C19" s="10"/>
    </row>
    <row r="20" spans="1:15" hidden="1" x14ac:dyDescent="0.3">
      <c r="B20" s="11"/>
      <c r="C20" s="11"/>
    </row>
    <row r="21" spans="1:15" hidden="1" x14ac:dyDescent="0.3">
      <c r="B21" s="12"/>
      <c r="C21" s="12"/>
    </row>
    <row r="22" spans="1:15" hidden="1" x14ac:dyDescent="0.3"/>
  </sheetData>
  <mergeCells count="8">
    <mergeCell ref="A17:A18"/>
    <mergeCell ref="A4:A7"/>
    <mergeCell ref="A8:A11"/>
    <mergeCell ref="A12:A16"/>
    <mergeCell ref="B1:O1"/>
    <mergeCell ref="D2:F2"/>
    <mergeCell ref="G2:J2"/>
    <mergeCell ref="K2:O2"/>
  </mergeCells>
  <conditionalFormatting sqref="D4:D16">
    <cfRule type="colorScale" priority="113">
      <colorScale>
        <cfvo type="min"/>
        <cfvo type="formula" val="$D$17/2"/>
        <cfvo type="formula" val="$D$17"/>
        <color rgb="FFFF0000"/>
        <color rgb="FFFFFF00"/>
        <color rgb="FF00B050"/>
      </colorScale>
    </cfRule>
  </conditionalFormatting>
  <conditionalFormatting sqref="E4:E16">
    <cfRule type="colorScale" priority="114">
      <colorScale>
        <cfvo type="min"/>
        <cfvo type="formula" val="$E$17/2"/>
        <cfvo type="formula" val="$E$17"/>
        <color rgb="FFFF0000"/>
        <color rgb="FFFFFF00"/>
        <color rgb="FF00B050"/>
      </colorScale>
    </cfRule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:F16">
    <cfRule type="colorScale" priority="117">
      <colorScale>
        <cfvo type="min"/>
        <cfvo type="formula" val="$F$17/2"/>
        <cfvo type="formula" val="$F$17"/>
        <color rgb="FFFF0000"/>
        <color rgb="FFFFFF00"/>
        <color rgb="FF00B050"/>
      </colorScale>
    </cfRule>
    <cfRule type="colorScale" priority="11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:G16">
    <cfRule type="colorScale" priority="120">
      <colorScale>
        <cfvo type="min"/>
        <cfvo type="formula" val="$G$17/2"/>
        <cfvo type="formula" val="$G$17"/>
        <color rgb="FFFF0000"/>
        <color rgb="FFFFFF00"/>
        <color rgb="FF00B050"/>
      </colorScale>
    </cfRule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:H16">
    <cfRule type="colorScale" priority="123">
      <colorScale>
        <cfvo type="min"/>
        <cfvo type="formula" val="$H$17/2"/>
        <cfvo type="formula" val="$H$17"/>
        <color rgb="FFFF0000"/>
        <color rgb="FFFFFF00"/>
        <color rgb="FF00B050"/>
      </colorScale>
    </cfRule>
  </conditionalFormatting>
  <conditionalFormatting sqref="I4:I16">
    <cfRule type="colorScale" priority="124">
      <colorScale>
        <cfvo type="min"/>
        <cfvo type="formula" val="$I$17/2"/>
        <cfvo type="formula" val="$I$17"/>
        <color rgb="FFFF0000"/>
        <color rgb="FFFFFF00"/>
        <color rgb="FF00B050"/>
      </colorScale>
    </cfRule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:J16">
    <cfRule type="colorScale" priority="126">
      <colorScale>
        <cfvo type="min"/>
        <cfvo type="formula" val="$J$17/2"/>
        <cfvo type="formula" val="$J$17"/>
        <color rgb="FFFF0000"/>
        <color rgb="FFFFFF00"/>
        <color rgb="FF00B050"/>
      </colorScale>
    </cfRule>
    <cfRule type="colorScale" priority="1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:K16">
    <cfRule type="colorScale" priority="128">
      <colorScale>
        <cfvo type="min"/>
        <cfvo type="num" val="0"/>
        <cfvo type="formula" val="1.18"/>
        <color rgb="FFFF0000"/>
        <color rgb="FFFFEB84"/>
        <color rgb="FF00B050"/>
      </colorScale>
    </cfRule>
  </conditionalFormatting>
  <conditionalFormatting sqref="N4:N16">
    <cfRule type="colorScale" priority="130">
      <colorScale>
        <cfvo type="min"/>
        <cfvo type="formula" val="$N$17/2"/>
        <cfvo type="formula" val="$N$17"/>
        <color rgb="FFFF0000"/>
        <color rgb="FFFFFF00"/>
        <color rgb="FF00B050"/>
      </colorScale>
    </cfRule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4:O16">
    <cfRule type="colorScale" priority="133">
      <colorScale>
        <cfvo type="min"/>
        <cfvo type="formula" val="$O$17/2"/>
        <cfvo type="formula" val="$O$17"/>
        <color rgb="FFFF0000"/>
        <color rgb="FFFFFF00"/>
        <color rgb="FF00B050"/>
      </colorScale>
    </cfRule>
    <cfRule type="colorScale" priority="13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7">
      <colorScale>
        <cfvo type="num" val="0"/>
        <cfvo type="num" val="0"/>
        <cfvo type="max"/>
        <color rgb="FF63BE7B"/>
        <color rgb="FFFFEB84"/>
        <color rgb="FFF8696B"/>
      </colorScale>
    </cfRule>
  </conditionalFormatting>
  <conditionalFormatting sqref="L4:L16">
    <cfRule type="colorScale" priority="5">
      <colorScale>
        <cfvo type="min"/>
        <cfvo type="num" val="0"/>
        <cfvo type="formula" val="1.18"/>
        <color rgb="FFFF0000"/>
        <color rgb="FFFFEB84"/>
        <color rgb="FF00B050"/>
      </colorScale>
    </cfRule>
  </conditionalFormatting>
  <conditionalFormatting sqref="M4:M5 M7:M16">
    <cfRule type="colorScale" priority="4">
      <colorScale>
        <cfvo type="min"/>
        <cfvo type="num" val="0"/>
        <cfvo type="formula" val="1.18"/>
        <color rgb="FFFF0000"/>
        <color rgb="FFFFEB84"/>
        <color rgb="FF00B050"/>
      </colorScale>
    </cfRule>
  </conditionalFormatting>
  <conditionalFormatting sqref="M6">
    <cfRule type="colorScale" priority="1">
      <colorScale>
        <cfvo type="min"/>
        <cfvo type="formula" val="$N$17/2"/>
        <cfvo type="formula" val="$N$17"/>
        <color rgb="FFFF0000"/>
        <color rgb="FFFFFF00"/>
        <color rgb="FF00B050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8" scale="60" orientation="landscape" r:id="rId1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Res, Cap, Product</vt:lpstr>
      <vt:lpstr>'Res, Cap, Product'!Print_Area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Lewis, Sabra (IITA)</dc:creator>
  <cp:lastModifiedBy>Devari, Aalakh (SI EA R&amp;D AU SDA)</cp:lastModifiedBy>
  <dcterms:created xsi:type="dcterms:W3CDTF">2026-04-08T13:55:15Z</dcterms:created>
  <dcterms:modified xsi:type="dcterms:W3CDTF">2026-04-23T08:52:17Z</dcterms:modified>
</cp:coreProperties>
</file>