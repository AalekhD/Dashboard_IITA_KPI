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195" yWindow="1395" windowWidth="27000" windowHeight="15735" tabRatio="600" firstSheet="0" activeTab="0" autoFilterDateGrouping="1"/>
  </bookViews>
  <sheets>
    <sheet name="Res, Cap, Product" sheetId="1" state="visible" r:id="rId1"/>
  </sheets>
  <externalReferences>
    <externalReference r:id="rId2"/>
  </externalReferences>
  <definedNames>
    <definedName name="_Hlk200085589" localSheetId="0">'Res, Cap, Product'!#REF!</definedName>
    <definedName name="_xlnm.Print_Area" localSheetId="0">'Res, Cap, Product'!$B$1:$O$17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_ * #,##0.00_ ;_ * \-#,##0.00_ ;_ * &quot;-&quot;??_ ;_ @_ "/>
  </numFmts>
  <fonts count="16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family val="2"/>
      <color theme="1"/>
      <sz val="9"/>
    </font>
    <font>
      <name val="Calibri"/>
      <family val="2"/>
      <b val="1"/>
      <color rgb="FF0070C0"/>
      <sz val="18"/>
    </font>
    <font>
      <name val="Calibri"/>
      <family val="2"/>
      <color theme="1"/>
      <sz val="11"/>
    </font>
    <font>
      <name val="Calibri"/>
      <family val="2"/>
      <color theme="1"/>
      <sz val="14"/>
    </font>
    <font>
      <name val="Calibri"/>
      <family val="2"/>
      <b val="1"/>
      <color rgb="FF00B0F0"/>
      <sz val="14"/>
    </font>
    <font>
      <name val="Calibri"/>
      <family val="2"/>
      <b val="1"/>
      <color rgb="FF0070C0"/>
      <sz val="14"/>
    </font>
    <font>
      <name val="Aptos Narrow"/>
      <family val="2"/>
      <color theme="1"/>
      <sz val="14"/>
      <scheme val="minor"/>
    </font>
    <font>
      <name val="Calibri"/>
      <family val="2"/>
      <color rgb="FF000000"/>
      <sz val="9"/>
    </font>
    <font>
      <name val="Aptos Narrow"/>
      <family val="2"/>
      <color theme="1"/>
      <sz val="9"/>
      <scheme val="minor"/>
    </font>
    <font>
      <name val="Calibri"/>
      <family val="2"/>
      <b val="1"/>
      <color rgb="FF0070C0"/>
      <sz val="10"/>
    </font>
    <font>
      <name val="Calibri"/>
      <family val="2"/>
      <b val="1"/>
      <color rgb="FF0070C0"/>
      <sz val="9"/>
    </font>
    <font>
      <name val="Aptos Narrow"/>
      <family val="2"/>
      <b val="1"/>
      <color rgb="FF0070C0"/>
      <sz val="11"/>
      <scheme val="minor"/>
    </font>
    <font>
      <name val="Calibri"/>
      <family val="2"/>
      <b val="1"/>
      <color theme="1"/>
      <sz val="9"/>
    </font>
    <font>
      <name val="Calibri"/>
      <family val="2"/>
      <color rgb="FFFF0000"/>
      <sz val="9"/>
    </font>
  </fonts>
  <fills count="3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</fills>
  <borders count="26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50">
    <xf numFmtId="0" fontId="0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4" fontId="5" fillId="0" borderId="0" applyAlignment="1" pivotButton="0" quotePrefix="0" xfId="0">
      <alignment vertical="top"/>
    </xf>
    <xf numFmtId="0" fontId="6" fillId="2" borderId="7" applyAlignment="1" pivotButton="0" quotePrefix="0" xfId="0">
      <alignment horizontal="center" vertical="top"/>
    </xf>
    <xf numFmtId="164" fontId="8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164" fontId="2" fillId="0" borderId="0" pivotButton="0" quotePrefix="0" xfId="0"/>
    <xf numFmtId="0" fontId="2" fillId="0" borderId="8" applyAlignment="1" pivotButton="0" quotePrefix="0" xfId="0">
      <alignment horizontal="left" vertical="top" readingOrder="1"/>
    </xf>
    <xf numFmtId="0" fontId="9" fillId="0" borderId="9" applyAlignment="1" pivotButton="0" quotePrefix="0" xfId="0">
      <alignment horizontal="center" textRotation="90" wrapText="1" readingOrder="1"/>
    </xf>
    <xf numFmtId="0" fontId="9" fillId="0" borderId="10" applyAlignment="1" pivotButton="0" quotePrefix="0" xfId="0">
      <alignment horizontal="center" textRotation="90" wrapText="1" readingOrder="1"/>
    </xf>
    <xf numFmtId="0" fontId="9" fillId="0" borderId="11" applyAlignment="1" pivotButton="0" quotePrefix="0" xfId="0">
      <alignment horizontal="center" textRotation="90" wrapText="1" readingOrder="1"/>
    </xf>
    <xf numFmtId="0" fontId="2" fillId="0" borderId="10" applyAlignment="1" pivotButton="0" quotePrefix="0" xfId="0">
      <alignment horizontal="center" textRotation="90" wrapText="1" readingOrder="1"/>
    </xf>
    <xf numFmtId="164" fontId="10" fillId="0" borderId="0" pivotButton="0" quotePrefix="0" xfId="0"/>
    <xf numFmtId="0" fontId="10" fillId="0" borderId="0" pivotButton="0" quotePrefix="0" xfId="0"/>
    <xf numFmtId="0" fontId="9" fillId="0" borderId="3" applyAlignment="1" pivotButton="0" quotePrefix="0" xfId="0">
      <alignment horizontal="left" vertical="center" wrapText="1"/>
    </xf>
    <xf numFmtId="2" fontId="2" fillId="0" borderId="4" applyAlignment="1" pivotButton="0" quotePrefix="0" xfId="0">
      <alignment horizontal="center"/>
    </xf>
    <xf numFmtId="2" fontId="2" fillId="0" borderId="5" applyAlignment="1" pivotButton="0" quotePrefix="0" xfId="1">
      <alignment horizontal="center"/>
    </xf>
    <xf numFmtId="2" fontId="2" fillId="0" borderId="6" applyAlignment="1" pivotButton="0" quotePrefix="0" xfId="2">
      <alignment horizontal="center"/>
    </xf>
    <xf numFmtId="2" fontId="2" fillId="0" borderId="5" applyAlignment="1" pivotButton="0" quotePrefix="0" xfId="0">
      <alignment horizontal="center"/>
    </xf>
    <xf numFmtId="2" fontId="2" fillId="0" borderId="6" applyAlignment="1" pivotButton="0" quotePrefix="0" xfId="0">
      <alignment horizontal="center"/>
    </xf>
    <xf numFmtId="0" fontId="9" fillId="0" borderId="12" applyAlignment="1" pivotButton="0" quotePrefix="0" xfId="0">
      <alignment horizontal="left" vertical="center" wrapText="1"/>
    </xf>
    <xf numFmtId="2" fontId="2" fillId="0" borderId="13" applyAlignment="1" pivotButton="0" quotePrefix="0" xfId="0">
      <alignment horizontal="center"/>
    </xf>
    <xf numFmtId="2" fontId="2" fillId="0" borderId="14" applyAlignment="1" pivotButton="0" quotePrefix="0" xfId="1">
      <alignment horizontal="center"/>
    </xf>
    <xf numFmtId="2" fontId="2" fillId="0" borderId="15" applyAlignment="1" pivotButton="0" quotePrefix="0" xfId="2">
      <alignment horizontal="center"/>
    </xf>
    <xf numFmtId="2" fontId="2" fillId="0" borderId="14" applyAlignment="1" pivotButton="0" quotePrefix="0" xfId="0">
      <alignment horizontal="center"/>
    </xf>
    <xf numFmtId="2" fontId="2" fillId="0" borderId="15" applyAlignment="1" pivotButton="0" quotePrefix="0" xfId="0">
      <alignment horizontal="center"/>
    </xf>
    <xf numFmtId="0" fontId="9" fillId="0" borderId="17" applyAlignment="1" pivotButton="0" quotePrefix="0" xfId="0">
      <alignment horizontal="left" vertical="center" wrapText="1"/>
    </xf>
    <xf numFmtId="2" fontId="2" fillId="0" borderId="18" applyAlignment="1" pivotButton="0" quotePrefix="0" xfId="0">
      <alignment horizontal="center"/>
    </xf>
    <xf numFmtId="2" fontId="2" fillId="0" borderId="19" applyAlignment="1" pivotButton="0" quotePrefix="0" xfId="1">
      <alignment horizontal="center"/>
    </xf>
    <xf numFmtId="2" fontId="2" fillId="0" borderId="20" applyAlignment="1" pivotButton="0" quotePrefix="0" xfId="2">
      <alignment horizontal="center"/>
    </xf>
    <xf numFmtId="2" fontId="2" fillId="0" borderId="19" applyAlignment="1" pivotButton="0" quotePrefix="0" xfId="0">
      <alignment horizontal="center"/>
    </xf>
    <xf numFmtId="2" fontId="2" fillId="0" borderId="20" applyAlignment="1" pivotButton="0" quotePrefix="0" xfId="0">
      <alignment horizontal="center"/>
    </xf>
    <xf numFmtId="2" fontId="2" fillId="0" borderId="22" applyAlignment="1" pivotButton="0" quotePrefix="0" xfId="0">
      <alignment horizontal="center"/>
    </xf>
    <xf numFmtId="164" fontId="13" fillId="0" borderId="0" pivotButton="0" quotePrefix="0" xfId="0"/>
    <xf numFmtId="0" fontId="13" fillId="0" borderId="0" pivotButton="0" quotePrefix="0" xfId="0"/>
    <xf numFmtId="0" fontId="12" fillId="0" borderId="0" applyAlignment="1" pivotButton="0" quotePrefix="0" xfId="0">
      <alignment horizontal="left"/>
    </xf>
    <xf numFmtId="165" fontId="12" fillId="0" borderId="0" applyAlignment="1" pivotButton="0" quotePrefix="0" xfId="1">
      <alignment horizontal="center"/>
    </xf>
    <xf numFmtId="0" fontId="14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5" fillId="0" borderId="0" applyAlignment="1" pivotButton="0" quotePrefix="0" xfId="0">
      <alignment horizontal="center"/>
    </xf>
    <xf numFmtId="0" fontId="7" fillId="2" borderId="7" applyAlignment="1" pivotButton="0" quotePrefix="0" xfId="0">
      <alignment horizontal="center" vertical="top"/>
    </xf>
    <xf numFmtId="0" fontId="0" fillId="0" borderId="1" pivotButton="0" quotePrefix="0" xfId="0"/>
    <xf numFmtId="0" fontId="0" fillId="0" borderId="2" pivotButton="0" quotePrefix="0" xfId="0"/>
    <xf numFmtId="0" fontId="11" fillId="2" borderId="7" applyAlignment="1" pivotButton="0" quotePrefix="0" xfId="0">
      <alignment horizontal="center" vertical="center" textRotation="90"/>
    </xf>
    <xf numFmtId="0" fontId="0" fillId="0" borderId="16" pivotButton="0" quotePrefix="0" xfId="0"/>
    <xf numFmtId="0" fontId="0" fillId="0" borderId="21" pivotButton="0" quotePrefix="0" xfId="0"/>
    <xf numFmtId="0" fontId="7" fillId="2" borderId="7" applyAlignment="1" pivotButton="0" quotePrefix="0" xfId="0">
      <alignment horizontal="center" vertical="top" wrapText="1"/>
    </xf>
    <xf numFmtId="0" fontId="3" fillId="2" borderId="7" applyAlignment="1" pivotButton="0" quotePrefix="0" xfId="0">
      <alignment horizontal="center"/>
    </xf>
    <xf numFmtId="165" fontId="12" fillId="0" borderId="0" applyAlignment="1" pivotButton="0" quotePrefix="0" xfId="1">
      <alignment horizontal="center"/>
    </xf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R 1"/>
      <sheetName val="PR 2"/>
      <sheetName val="PR 3"/>
      <sheetName val="PR 4"/>
      <sheetName val="PR 5"/>
      <sheetName val="PR 6"/>
      <sheetName val="PR 7"/>
      <sheetName val="PR 8"/>
      <sheetName val="PR 9"/>
      <sheetName val="PR 10"/>
      <sheetName val="PR 11"/>
      <sheetName val="PR 12"/>
      <sheetName val="PR 13"/>
      <sheetName val="PR 14"/>
      <sheetName val="PR15"/>
      <sheetName val="PR 16"/>
      <sheetName val="PR 18"/>
      <sheetName val="PR 19"/>
      <sheetName val="PR2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4">
          <cell r="H4">
            <v>1.1792063636465733E-3</v>
          </cell>
        </row>
      </sheetData>
      <sheetData sheetId="9">
        <row r="5">
          <cell r="H5">
            <v>0.28541663693576702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FF0000"/>
    <outlinePr summaryBelow="1" summaryRight="1"/>
    <pageSetUpPr fitToPage="1"/>
  </sheetPr>
  <dimension ref="A1:V21"/>
  <sheetViews>
    <sheetView tabSelected="1" zoomScale="115" zoomScaleNormal="115" zoomScaleSheetLayoutView="75" workbookViewId="0">
      <pane ySplit="3" topLeftCell="A4" activePane="bottomLeft" state="frozen"/>
      <selection activeCell="D3" sqref="D3:E3"/>
      <selection pane="bottomLeft" activeCell="I3" sqref="I3"/>
    </sheetView>
  </sheetViews>
  <sheetFormatPr baseColWidth="8" defaultRowHeight="14.4"/>
  <cols>
    <col width="3.21875" customWidth="1" style="2" min="2" max="2"/>
    <col width="24.77734375" bestFit="1" customWidth="1" style="2" min="3" max="3"/>
    <col width="6.77734375" customWidth="1" style="2" min="4" max="8"/>
    <col width="11.44140625" bestFit="1" customWidth="1" style="2" min="9" max="9"/>
    <col width="6.77734375" customWidth="1" style="2" min="10" max="11"/>
    <col width="7.21875" bestFit="1" customWidth="1" style="2" min="12" max="12"/>
    <col width="6.77734375" customWidth="1" style="2" min="13" max="15"/>
    <col width="8.21875" customWidth="1" style="2" min="16" max="16"/>
    <col width="6.21875" customWidth="1" style="2" min="17" max="17"/>
    <col width="8.21875" customWidth="1" style="2" min="18" max="22"/>
  </cols>
  <sheetData>
    <row r="1" ht="24" customHeight="1" thickBot="1">
      <c r="B1" s="1" t="n"/>
      <c r="C1" s="48" t="inlineStr">
        <is>
          <t>KPI by $</t>
        </is>
      </c>
      <c r="D1" s="42" t="n"/>
      <c r="E1" s="42" t="n"/>
      <c r="F1" s="42" t="n"/>
      <c r="G1" s="42" t="n"/>
      <c r="H1" s="42" t="n"/>
      <c r="I1" s="42" t="n"/>
      <c r="J1" s="42" t="n"/>
      <c r="K1" s="42" t="n"/>
      <c r="L1" s="42" t="n"/>
      <c r="M1" s="42" t="n"/>
      <c r="N1" s="42" t="n"/>
      <c r="O1" s="43" t="n"/>
      <c r="P1" s="1" t="n"/>
      <c r="Q1" s="1" t="n"/>
    </row>
    <row r="2" ht="18.6" customFormat="1" customHeight="1" s="6" thickBot="1">
      <c r="B2" s="3" t="n"/>
      <c r="C2" s="4" t="n"/>
      <c r="D2" s="41" t="inlineStr">
        <is>
          <t>Research Outputs</t>
        </is>
      </c>
      <c r="E2" s="42" t="n"/>
      <c r="F2" s="43" t="n"/>
      <c r="G2" s="47" t="inlineStr">
        <is>
          <t>Training and Capacity Building</t>
        </is>
      </c>
      <c r="H2" s="42" t="n"/>
      <c r="I2" s="42" t="n"/>
      <c r="J2" s="43" t="n"/>
      <c r="K2" s="47" t="inlineStr">
        <is>
          <t>Product Development</t>
        </is>
      </c>
      <c r="L2" s="42" t="n"/>
      <c r="M2" s="42" t="n"/>
      <c r="N2" s="42" t="n"/>
      <c r="O2" s="43" t="n"/>
      <c r="P2" s="3" t="n"/>
      <c r="Q2" s="3" t="n"/>
      <c r="R2" s="5" t="n"/>
      <c r="S2" s="5" t="n"/>
      <c r="T2" s="5" t="n"/>
      <c r="U2" s="5" t="n"/>
      <c r="V2" s="5" t="n"/>
    </row>
    <row r="3" ht="143.55" customFormat="1" customHeight="1" s="14" thickBot="1">
      <c r="B3" s="7" t="n"/>
      <c r="C3" s="8" t="n"/>
      <c r="D3" s="9" t="inlineStr">
        <is>
          <t>Thomson indexed publications</t>
        </is>
      </c>
      <c r="E3" s="10" t="inlineStr">
        <is>
          <t>Publications per IRS</t>
        </is>
      </c>
      <c r="F3" s="11" t="inlineStr">
        <is>
          <t>High impact publications</t>
        </is>
      </c>
      <c r="G3" s="9" t="inlineStr">
        <is>
          <t>PhD and MsC  students enrolled</t>
        </is>
      </c>
      <c r="H3" s="10" t="inlineStr">
        <is>
          <t>PhD and MsC  theses completed</t>
        </is>
      </c>
      <c r="I3" s="10" t="inlineStr">
        <is>
          <t>Stakeholders trained on innovations</t>
        </is>
      </c>
      <c r="J3" s="11" t="inlineStr">
        <is>
          <t>Training to NARES by IITA Scientists</t>
        </is>
      </c>
      <c r="K3" s="9" t="inlineStr">
        <is>
          <t>Varieties released</t>
        </is>
      </c>
      <c r="L3" s="12" t="inlineStr">
        <is>
          <t>Genetic gain rate</t>
        </is>
      </c>
      <c r="M3" s="12" t="inlineStr">
        <is>
          <t>Crop Trust compliance rate</t>
        </is>
      </c>
      <c r="N3" s="10" t="inlineStr">
        <is>
          <t>Innovations in e-Catalogue</t>
        </is>
      </c>
      <c r="O3" s="11" t="inlineStr">
        <is>
          <t>Innovations taken on by scaling partners</t>
        </is>
      </c>
      <c r="P3" s="7" t="n"/>
      <c r="Q3" s="7" t="n"/>
      <c r="R3" s="13" t="n"/>
      <c r="S3" s="13" t="n"/>
      <c r="T3" s="13" t="n"/>
      <c r="U3" s="13" t="n"/>
      <c r="V3" s="13" t="n"/>
    </row>
    <row r="4" ht="15.45" customHeight="1">
      <c r="B4" s="44" t="inlineStr">
        <is>
          <t>GI</t>
        </is>
      </c>
      <c r="C4" s="15" t="inlineStr">
        <is>
          <t>Biotech</t>
        </is>
      </c>
      <c r="D4" s="16" t="n">
        <v>6.444811302633521</v>
      </c>
      <c r="E4" s="17" t="n">
        <v>0.9185948577454921</v>
      </c>
      <c r="F4" s="18" t="n">
        <v>0.2929459683015237</v>
      </c>
      <c r="G4" s="16" t="n">
        <v>0.2929459683015237</v>
      </c>
      <c r="H4" s="19" t="n">
        <v>0.2929459683015237</v>
      </c>
      <c r="I4" s="19" t="n">
        <v>1.992032584450361e-05</v>
      </c>
      <c r="J4" s="20" t="n">
        <v>53.90205816748036</v>
      </c>
      <c r="K4" s="16" t="inlineStr">
        <is>
          <t>N/A</t>
        </is>
      </c>
      <c r="L4" s="19" t="inlineStr">
        <is>
          <t>N/A</t>
        </is>
      </c>
      <c r="M4" s="19" t="inlineStr">
        <is>
          <t>N/A</t>
        </is>
      </c>
      <c r="N4" s="19" t="n">
        <v>0.2929459683015237</v>
      </c>
      <c r="O4" s="20" t="n">
        <v>0</v>
      </c>
      <c r="P4" s="1" t="n"/>
    </row>
    <row r="5" ht="15.6" customHeight="1">
      <c r="B5" s="45" t="n"/>
      <c r="C5" s="21" t="inlineStr">
        <is>
          <t>Breeding</t>
        </is>
      </c>
      <c r="D5" s="22" t="n">
        <v>4.048608515186568</v>
      </c>
      <c r="E5" s="23" t="n">
        <v>0.1758555577090324</v>
      </c>
      <c r="F5" s="24" t="n">
        <v>0</v>
      </c>
      <c r="G5" s="22" t="n">
        <v>1.886730181834517</v>
      </c>
      <c r="H5" s="25" t="n">
        <v>2.20118521214027</v>
      </c>
      <c r="I5" s="25" t="n">
        <v>8.490285818255328</v>
      </c>
      <c r="J5" s="26" t="n">
        <v>16.82334412135778</v>
      </c>
      <c r="K5" s="22" t="n">
        <v>1.18</v>
      </c>
      <c r="L5" s="25">
        <f>'[1]PR 9'!$H$4</f>
        <v/>
      </c>
      <c r="M5" s="25" t="inlineStr">
        <is>
          <t>N/A</t>
        </is>
      </c>
      <c r="N5" s="25" t="n">
        <v>0.6289100606115057</v>
      </c>
      <c r="O5" s="26" t="n">
        <v>0.3930687878821911</v>
      </c>
      <c r="P5" s="1" t="n"/>
    </row>
    <row r="6" ht="15.6" customHeight="1">
      <c r="B6" s="45" t="n"/>
      <c r="C6" s="21" t="inlineStr">
        <is>
          <t>Genebanks</t>
        </is>
      </c>
      <c r="D6" s="22" t="n">
        <v>1.427083184678835</v>
      </c>
      <c r="E6" s="23" t="n">
        <v>0.3567707961697087</v>
      </c>
      <c r="F6" s="24" t="n">
        <v>0</v>
      </c>
      <c r="G6" s="22" t="n">
        <v>7.420832560329942</v>
      </c>
      <c r="H6" s="25" t="n">
        <v>5.422916101779573</v>
      </c>
      <c r="I6" s="25" t="n">
        <v>1.427083184678835</v>
      </c>
      <c r="J6" s="26" t="n">
        <v>32.25207997374167</v>
      </c>
      <c r="K6" s="22" t="inlineStr">
        <is>
          <t>N/A</t>
        </is>
      </c>
      <c r="L6" s="25" t="inlineStr">
        <is>
          <t>N/A</t>
        </is>
      </c>
      <c r="M6" s="25">
        <f>'[1]PR 10'!$H$5</f>
        <v/>
      </c>
      <c r="N6" s="25" t="n">
        <v>0</v>
      </c>
      <c r="O6" s="26" t="n">
        <v>0</v>
      </c>
      <c r="P6" s="1" t="n"/>
    </row>
    <row r="7" ht="15.6" customHeight="1" thickBot="1">
      <c r="B7" s="46" t="n"/>
      <c r="C7" s="27" t="inlineStr">
        <is>
          <t>Seed System</t>
        </is>
      </c>
      <c r="D7" s="28" t="n">
        <v>0.7228379951589352</v>
      </c>
      <c r="E7" s="29" t="n">
        <v>0.04818919967726234</v>
      </c>
      <c r="F7" s="30" t="n">
        <v>0</v>
      </c>
      <c r="G7" s="28" t="n">
        <v>0.234687660765888</v>
      </c>
      <c r="H7" s="31" t="n">
        <v>0.3285627250722432</v>
      </c>
      <c r="I7" s="31" t="n">
        <v>105.4686347481901</v>
      </c>
      <c r="J7" s="32" t="n">
        <v>14.50369743533188</v>
      </c>
      <c r="K7" s="28" t="inlineStr">
        <is>
          <t>N/A</t>
        </is>
      </c>
      <c r="L7" s="31" t="inlineStr">
        <is>
          <t>N/A</t>
        </is>
      </c>
      <c r="M7" s="31" t="inlineStr">
        <is>
          <t>N/A</t>
        </is>
      </c>
      <c r="N7" s="31" t="n">
        <v>0.7979380466040193</v>
      </c>
      <c r="O7" s="32" t="n">
        <v>0.09387506430635521</v>
      </c>
      <c r="P7" s="1" t="n"/>
    </row>
    <row r="8" ht="15.6" customHeight="1">
      <c r="B8" s="44" t="inlineStr">
        <is>
          <t>RAFS</t>
        </is>
      </c>
      <c r="C8" s="15" t="inlineStr">
        <is>
          <t>Plant Health</t>
        </is>
      </c>
      <c r="D8" s="16" t="n">
        <v>5.36837246579725</v>
      </c>
      <c r="E8" s="17" t="n">
        <v>0.4473643721497708</v>
      </c>
      <c r="F8" s="18" t="n">
        <v>0.1295144141326236</v>
      </c>
      <c r="G8" s="16" t="n">
        <v>1.165629727193613</v>
      </c>
      <c r="H8" s="19" t="n">
        <v>1.165629727193613</v>
      </c>
      <c r="I8" s="19" t="n">
        <v>13.21047024152761</v>
      </c>
      <c r="J8" s="20" t="n">
        <v>1.295144141326236</v>
      </c>
      <c r="K8" s="16" t="inlineStr">
        <is>
          <t>N/A</t>
        </is>
      </c>
      <c r="L8" s="19" t="inlineStr">
        <is>
          <t>N/A</t>
        </is>
      </c>
      <c r="M8" s="19" t="inlineStr">
        <is>
          <t>N/A</t>
        </is>
      </c>
      <c r="N8" s="19" t="n">
        <v>0.7770864847957417</v>
      </c>
      <c r="O8" s="20" t="n">
        <v>0.2590288282652473</v>
      </c>
      <c r="P8" s="1" t="n"/>
    </row>
    <row r="9" ht="15.6" customHeight="1">
      <c r="B9" s="45" t="n"/>
      <c r="C9" s="21" t="inlineStr">
        <is>
          <t>Farming Systems Agronomy</t>
        </is>
      </c>
      <c r="D9" s="22" t="n">
        <v>1.700457326303648</v>
      </c>
      <c r="E9" s="23" t="n">
        <v>0.08502286631518242</v>
      </c>
      <c r="F9" s="24" t="n">
        <v>0.06762719601495103</v>
      </c>
      <c r="G9" s="22" t="n">
        <v>1.79252808714328</v>
      </c>
      <c r="H9" s="25" t="n">
        <v>1.140699691818451</v>
      </c>
      <c r="I9" s="25" t="n">
        <v>259.5091798886976</v>
      </c>
      <c r="J9" s="26" t="n">
        <v>18.98450201383565</v>
      </c>
      <c r="K9" s="22" t="inlineStr">
        <is>
          <t>N/A</t>
        </is>
      </c>
      <c r="L9" s="25" t="inlineStr">
        <is>
          <t>N/A</t>
        </is>
      </c>
      <c r="M9" s="25" t="inlineStr">
        <is>
          <t>N/A</t>
        </is>
      </c>
      <c r="N9" s="25" t="n">
        <v>0.08147854941560366</v>
      </c>
      <c r="O9" s="26" t="n">
        <v>0.7333069447404329</v>
      </c>
      <c r="P9" s="1" t="n"/>
    </row>
    <row r="10" ht="15.6" customHeight="1">
      <c r="B10" s="45" t="n"/>
      <c r="C10" s="21" t="inlineStr">
        <is>
          <t>NRM</t>
        </is>
      </c>
      <c r="D10" s="22" t="n">
        <v>2.158177644184841</v>
      </c>
      <c r="E10" s="23" t="n">
        <v>0.3083110920264058</v>
      </c>
      <c r="F10" s="24" t="n">
        <v>0.2784745347335278</v>
      </c>
      <c r="G10" s="22" t="n">
        <v>0.9746608715673475</v>
      </c>
      <c r="H10" s="25" t="n">
        <v>0.4177118021002918</v>
      </c>
      <c r="I10" s="25" t="n">
        <v>522.6967016948319</v>
      </c>
      <c r="J10" s="26" t="n">
        <v>2.784745347335279</v>
      </c>
      <c r="K10" s="22" t="inlineStr">
        <is>
          <t>N/A</t>
        </is>
      </c>
      <c r="L10" s="25" t="inlineStr">
        <is>
          <t>N/A</t>
        </is>
      </c>
      <c r="M10" s="25" t="inlineStr">
        <is>
          <t>N/A</t>
        </is>
      </c>
      <c r="N10" s="25" t="n">
        <v>1.392372673667639</v>
      </c>
      <c r="O10" s="26" t="n">
        <v>0.2784745347335278</v>
      </c>
      <c r="P10" s="1" t="n"/>
    </row>
    <row r="11" ht="15.6" customHeight="1" thickBot="1">
      <c r="B11" s="46" t="n"/>
      <c r="C11" s="27" t="inlineStr">
        <is>
          <t>Mechanization</t>
        </is>
      </c>
      <c r="D11" s="28" t="n">
        <v>0</v>
      </c>
      <c r="E11" s="29" t="n">
        <v>0</v>
      </c>
      <c r="F11" s="30" t="n">
        <v>0</v>
      </c>
      <c r="G11" s="28" t="n">
        <v>3.502154700679593</v>
      </c>
      <c r="H11" s="31" t="n">
        <v>1.751077350339797</v>
      </c>
      <c r="I11" s="31" t="n">
        <v>0</v>
      </c>
      <c r="J11" s="32" t="n">
        <v>0</v>
      </c>
      <c r="K11" s="28" t="inlineStr">
        <is>
          <t>N/A</t>
        </is>
      </c>
      <c r="L11" s="31" t="inlineStr">
        <is>
          <t>N/A</t>
        </is>
      </c>
      <c r="M11" s="31" t="inlineStr">
        <is>
          <t>N/A</t>
        </is>
      </c>
      <c r="N11" s="31" t="n">
        <v>5.253232051019389</v>
      </c>
      <c r="O11" s="32" t="n">
        <v>5.253232051019389</v>
      </c>
      <c r="P11" s="1" t="n"/>
    </row>
    <row r="12" ht="15.6" customHeight="1">
      <c r="B12" s="44" t="inlineStr">
        <is>
          <t>ST</t>
        </is>
      </c>
      <c r="C12" s="15" t="inlineStr">
        <is>
          <t>FIAS</t>
        </is>
      </c>
      <c r="D12" s="16" t="n">
        <v>7.267541157488532</v>
      </c>
      <c r="E12" s="17" t="n">
        <v>0.6606855597716847</v>
      </c>
      <c r="F12" s="18" t="n">
        <v>0</v>
      </c>
      <c r="G12" s="16" t="n">
        <v>3.663075180185752</v>
      </c>
      <c r="H12" s="19" t="n">
        <v>3.663075180185752</v>
      </c>
      <c r="I12" s="19" t="n">
        <v>68.86581338749214</v>
      </c>
      <c r="J12" s="20" t="n">
        <v>79.8550389280494</v>
      </c>
      <c r="K12" s="33" t="inlineStr">
        <is>
          <t>N/A</t>
        </is>
      </c>
      <c r="L12" s="19" t="inlineStr">
        <is>
          <t>N/A</t>
        </is>
      </c>
      <c r="M12" s="19" t="inlineStr">
        <is>
          <t>N/A</t>
        </is>
      </c>
      <c r="N12" s="19" t="n">
        <v>0</v>
      </c>
      <c r="O12" s="20" t="n">
        <v>0</v>
      </c>
      <c r="P12" s="1" t="n"/>
    </row>
    <row r="13" ht="15.6" customHeight="1">
      <c r="B13" s="45" t="n"/>
      <c r="C13" s="21" t="inlineStr">
        <is>
          <t>GeYSI</t>
        </is>
      </c>
      <c r="D13" s="22" t="n">
        <v>0.8757548637715421</v>
      </c>
      <c r="E13" s="23" t="n">
        <v>0.07961407852468565</v>
      </c>
      <c r="F13" s="24" t="n">
        <v>0</v>
      </c>
      <c r="G13" s="22" t="n">
        <v>0.5307605234979043</v>
      </c>
      <c r="H13" s="25" t="n">
        <v>0.3980703926234282</v>
      </c>
      <c r="I13" s="25" t="n">
        <v>253.7035302319983</v>
      </c>
      <c r="J13" s="26" t="n">
        <v>20.69966041641827</v>
      </c>
      <c r="K13" s="22" t="inlineStr">
        <is>
          <t>N/A</t>
        </is>
      </c>
      <c r="L13" s="25" t="inlineStr">
        <is>
          <t>N/A</t>
        </is>
      </c>
      <c r="M13" s="25" t="inlineStr">
        <is>
          <t>N/A</t>
        </is>
      </c>
      <c r="N13" s="25" t="n">
        <v>0.3317253271861902</v>
      </c>
      <c r="O13" s="26" t="n">
        <v>0</v>
      </c>
      <c r="P13" s="1" t="n"/>
    </row>
    <row r="14" ht="15.6" customHeight="1">
      <c r="B14" s="45" t="n"/>
      <c r="C14" s="21" t="inlineStr">
        <is>
          <t>RCA</t>
        </is>
      </c>
      <c r="D14" s="22" t="n">
        <v>6.271447834068688</v>
      </c>
      <c r="E14" s="23" t="n">
        <v>1.254289566813737</v>
      </c>
      <c r="F14" s="24" t="n">
        <v>0.4704762066068032</v>
      </c>
      <c r="G14" s="22" t="n">
        <v>0.4704762066068032</v>
      </c>
      <c r="H14" s="25" t="n">
        <v>0.9409524132136065</v>
      </c>
      <c r="I14" s="25" t="n">
        <v>0</v>
      </c>
      <c r="J14" s="26" t="n">
        <v>0</v>
      </c>
      <c r="K14" s="22" t="inlineStr">
        <is>
          <t>N/A</t>
        </is>
      </c>
      <c r="L14" s="25" t="inlineStr">
        <is>
          <t>N/A</t>
        </is>
      </c>
      <c r="M14" s="25" t="inlineStr">
        <is>
          <t>N/A</t>
        </is>
      </c>
      <c r="N14" s="25" t="n">
        <v>1.176190516517008</v>
      </c>
      <c r="O14" s="26" t="n">
        <v>0</v>
      </c>
      <c r="P14" s="1" t="n"/>
    </row>
    <row r="15" ht="15.6" customHeight="1">
      <c r="B15" s="45" t="n"/>
      <c r="C15" s="21" t="inlineStr">
        <is>
          <t>Nutrition</t>
        </is>
      </c>
      <c r="D15" s="22" t="n">
        <v>8.579514140878752</v>
      </c>
      <c r="E15" s="23" t="n">
        <v>2.144878535219688</v>
      </c>
      <c r="F15" s="24" t="n">
        <v>0</v>
      </c>
      <c r="G15" s="22" t="n">
        <v>1.3727222625406</v>
      </c>
      <c r="H15" s="25" t="n">
        <v>5.490889050162401</v>
      </c>
      <c r="I15" s="25" t="n">
        <v>89.22694706513903</v>
      </c>
      <c r="J15" s="26" t="n">
        <v>10.2954169690545</v>
      </c>
      <c r="K15" s="22" t="inlineStr">
        <is>
          <t>N/A</t>
        </is>
      </c>
      <c r="L15" s="25" t="inlineStr">
        <is>
          <t>N/A</t>
        </is>
      </c>
      <c r="M15" s="25" t="inlineStr">
        <is>
          <t>N/A</t>
        </is>
      </c>
      <c r="N15" s="25" t="n">
        <v>0</v>
      </c>
      <c r="O15" s="26" t="n">
        <v>0</v>
      </c>
      <c r="P15" s="1" t="n"/>
    </row>
    <row r="16" ht="15.6" customHeight="1" thickBot="1">
      <c r="B16" s="46" t="n"/>
      <c r="C16" s="27" t="inlineStr">
        <is>
          <t>VCMA</t>
        </is>
      </c>
      <c r="D16" s="28" t="n">
        <v>0.5172799951538452</v>
      </c>
      <c r="E16" s="29" t="n">
        <v>0.05172799951538452</v>
      </c>
      <c r="F16" s="30" t="n">
        <v>0</v>
      </c>
      <c r="G16" s="28" t="n">
        <v>0.8621333252564086</v>
      </c>
      <c r="H16" s="31" t="n">
        <v>0.5172799951538452</v>
      </c>
      <c r="I16" s="31" t="n">
        <v>173.6336517066407</v>
      </c>
      <c r="J16" s="32" t="n">
        <v>13.96655986915382</v>
      </c>
      <c r="K16" s="28" t="inlineStr">
        <is>
          <t>N/A</t>
        </is>
      </c>
      <c r="L16" s="31" t="inlineStr">
        <is>
          <t>N/A</t>
        </is>
      </c>
      <c r="M16" s="31" t="inlineStr">
        <is>
          <t>N/A</t>
        </is>
      </c>
      <c r="N16" s="31" t="n">
        <v>0</v>
      </c>
      <c r="O16" s="32" t="n">
        <v>0</v>
      </c>
      <c r="P16" s="1" t="n"/>
    </row>
    <row r="17" customFormat="1" s="35">
      <c r="B17" s="34" t="n"/>
      <c r="C17" s="36" t="inlineStr">
        <is>
          <t>per Program Target (target/13)</t>
        </is>
      </c>
      <c r="D17" s="49" t="n">
        <v>3.127395810403509</v>
      </c>
      <c r="E17" s="49" t="n">
        <v>0.02299555742943757</v>
      </c>
      <c r="F17" s="49" t="n">
        <v>0.1494711232913442</v>
      </c>
      <c r="G17" s="49" t="n">
        <v>1.724666807207818</v>
      </c>
      <c r="H17" s="49" t="n">
        <v>0.689866722883127</v>
      </c>
      <c r="I17" s="49" t="n">
        <v>137.9733445766254</v>
      </c>
      <c r="J17" s="49" t="n">
        <v>1.724666807207818</v>
      </c>
      <c r="K17" s="49" t="n">
        <v>0.06898667228831269</v>
      </c>
      <c r="L17" s="49" t="n">
        <v>0.0001724666807207817</v>
      </c>
      <c r="M17" s="49" t="n">
        <v>0.01149777871471878</v>
      </c>
      <c r="N17" s="49" t="n">
        <v>0.2299555742943757</v>
      </c>
      <c r="O17" s="49" t="n">
        <v>0.3449333614415635</v>
      </c>
      <c r="P17" s="34" t="n"/>
      <c r="Q17" s="34" t="n"/>
      <c r="R17" s="34" t="n"/>
      <c r="S17" s="34" t="n"/>
      <c r="T17" s="34" t="n"/>
      <c r="U17" s="34" t="n"/>
      <c r="V17" s="34" t="n"/>
    </row>
    <row r="18"/>
    <row r="19" hidden="1">
      <c r="C19" s="38" t="n"/>
    </row>
    <row r="20" hidden="1">
      <c r="C20" s="39" t="n"/>
    </row>
    <row r="21" hidden="1">
      <c r="C21" s="40" t="n"/>
    </row>
    <row r="22" hidden="1"/>
  </sheetData>
  <mergeCells count="7">
    <mergeCell ref="D2:F2"/>
    <mergeCell ref="B8:B11"/>
    <mergeCell ref="B4:B7"/>
    <mergeCell ref="K2:O2"/>
    <mergeCell ref="B12:B16"/>
    <mergeCell ref="G2:J2"/>
    <mergeCell ref="C1:O1"/>
  </mergeCells>
  <conditionalFormatting sqref="D4:D16">
    <cfRule type="colorScale" priority="108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9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2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H4:H16">
    <cfRule type="colorScale" priority="118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I4:I16">
    <cfRule type="colorScale" priority="119">
      <colorScale>
        <cfvo type="min"/>
        <cfvo type="formula" val="$I$17/2"/>
        <cfvo type="formula" val="$I$17"/>
        <color rgb="FFFF0000"/>
        <color rgb="FFFFFF00"/>
        <color rgb="FF00B050"/>
      </colorScale>
    </cfRule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16">
    <cfRule type="colorScale" priority="121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6">
    <cfRule type="colorScale" priority="123">
      <colorScale>
        <cfvo type="min"/>
        <cfvo type="formula" val="$K$17/2"/>
        <cfvo type="formula" val="$K$17"/>
        <color rgb="FFFF0000"/>
        <color rgb="FFFFEB84"/>
        <color rgb="FF00B050"/>
      </colorScale>
    </cfRule>
  </conditionalFormatting>
  <conditionalFormatting sqref="L4:L16">
    <cfRule type="colorScale" priority="124">
      <colorScale>
        <cfvo type="min"/>
        <cfvo type="formula" val="$L$17/2"/>
        <cfvo type="formula" val="$L$17"/>
        <color rgb="FFFF0000"/>
        <color rgb="FFFFFF00"/>
        <color rgb="FF00B050"/>
      </colorScale>
    </cfRule>
  </conditionalFormatting>
  <conditionalFormatting sqref="M4:M5">
    <cfRule type="colorScale" priority="3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9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M6">
    <cfRule type="colorScale" priority="42">
      <colorScale>
        <cfvo type="min"/>
        <cfvo type="formula" val="MAX($M$4:$M$16)/2"/>
        <cfvo type="max"/>
        <color rgb="FFF8696B"/>
        <color rgb="FFFFEB84"/>
        <color rgb="FF63BE7B"/>
      </colorScale>
    </cfRule>
    <cfRule type="colorScale" priority="44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8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M7:M16">
    <cfRule type="colorScale" priority="18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4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">
      <colorScale>
        <cfvo type="min"/>
        <cfvo type="formula" val="MAX(#REF!)/2"/>
        <cfvo type="max"/>
        <color rgb="FFF8696B"/>
        <color rgb="FFFFEB84"/>
        <color rgb="FF63BE7B"/>
      </colorScale>
    </cfRule>
  </conditionalFormatting>
  <conditionalFormatting sqref="N4:N16">
    <cfRule type="colorScale" priority="125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16">
    <cfRule type="colorScale" priority="128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2">
      <colorScale>
        <cfvo type="num" val="0"/>
        <cfvo type="num" val="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landscape" paperSize="8" scale="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Lewis, Sabra (IITA)</dc:creator>
  <dcterms:created xsi:type="dcterms:W3CDTF">2026-04-08T13:55:15Z</dcterms:created>
  <dcterms:modified xsi:type="dcterms:W3CDTF">2026-04-09T14:09:13Z</dcterms:modified>
  <cp:lastModifiedBy>Devari, Aalakh (SI EA R&amp;D AU SDA)</cp:lastModifiedBy>
</cp:coreProperties>
</file>