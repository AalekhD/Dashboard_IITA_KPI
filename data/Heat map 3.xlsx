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Learning\Miscellaneous\KPIDashboard\data\"/>
    </mc:Choice>
  </mc:AlternateContent>
  <xr:revisionPtr revIDLastSave="0" documentId="13_ncr:1_{F0C86B21-3552-4677-BE62-E5E026807779}" xr6:coauthVersionLast="47" xr6:coauthVersionMax="47" xr10:uidLastSave="{00000000-0000-0000-0000-000000000000}"/>
  <bookViews>
    <workbookView xWindow="-108" yWindow="-108" windowWidth="23256" windowHeight="13896" xr2:uid="{45B3C54E-DB58-4340-A914-7AEE103F004F}"/>
  </bookViews>
  <sheets>
    <sheet name="Res, Cap, Product" sheetId="1" r:id="rId1"/>
  </sheets>
  <externalReferences>
    <externalReference r:id="rId2"/>
  </externalReferences>
  <definedNames>
    <definedName name="_Hlk200085589" localSheetId="0">'Res, Cap, Product'!#REF!</definedName>
    <definedName name="_xlnm.Print_Area" localSheetId="0">'Res, Cap, Product'!$B$1:$P$17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" i="1" l="1"/>
  <c r="M5" i="1"/>
</calcChain>
</file>

<file path=xl/sharedStrings.xml><?xml version="1.0" encoding="utf-8"?>
<sst xmlns="http://schemas.openxmlformats.org/spreadsheetml/2006/main" count="73" uniqueCount="35">
  <si>
    <t>KPI by $</t>
  </si>
  <si>
    <t>Research Outputs</t>
  </si>
  <si>
    <t>Training and Capacity Building</t>
  </si>
  <si>
    <t>Product Development</t>
  </si>
  <si>
    <t>Varieties released</t>
  </si>
  <si>
    <t>Annual rate of genetic gain, by crop (%)</t>
  </si>
  <si>
    <t>GI</t>
  </si>
  <si>
    <t>Biotech</t>
  </si>
  <si>
    <t>N/A</t>
  </si>
  <si>
    <t>Breeding</t>
  </si>
  <si>
    <t>Genebanks</t>
  </si>
  <si>
    <t>Seed System</t>
  </si>
  <si>
    <t>RAFS</t>
  </si>
  <si>
    <t>Plant Health</t>
  </si>
  <si>
    <t>Farming Systems Agronomy</t>
  </si>
  <si>
    <t>Mechanization</t>
  </si>
  <si>
    <t>ST</t>
  </si>
  <si>
    <t>per Program Target (target/13)</t>
  </si>
  <si>
    <t>Thompson indexed publications</t>
  </si>
  <si>
    <t>Publications per IRS</t>
  </si>
  <si>
    <t>High impact publications &gt;10</t>
  </si>
  <si>
    <t xml:space="preserve">PhD and MsC students enrolled </t>
  </si>
  <si>
    <t>PhD and MSc thesis accepted</t>
  </si>
  <si>
    <t>Delivery partners trained</t>
  </si>
  <si>
    <t>National scientists trained</t>
  </si>
  <si>
    <t>Crop Trust performance compliance rate</t>
  </si>
  <si>
    <t>Innovations in TAAT e-catalog</t>
  </si>
  <si>
    <t>Innovations taken on by scaling partners</t>
  </si>
  <si>
    <t>Natural Resource Management</t>
  </si>
  <si>
    <t>Foresight &amp; Impact Assessment</t>
  </si>
  <si>
    <t>Gender, Youth &amp; Social Inclusion</t>
  </si>
  <si>
    <t>Reslience &amp; Climate Adaptation</t>
  </si>
  <si>
    <t>Nutrition and Health</t>
  </si>
  <si>
    <t>Value Chain Markets and Agribusiness</t>
  </si>
  <si>
    <t>USD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</si>
</sst>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* #,##0.00_);_(* \(#,##0.00\);_(* &quot;-&quot;??_);_(@_)"/>
    <numFmt numFmtId="165" formatCode="0.0"/>
    <numFmt numFmtId="166" formatCode="_(* #,##0.000_);_(* \(#,##0.000\);_(* &quot;-&quot;??_);_(@_)"/>
    <numFmt numFmtId="167" formatCode="_(* #,##0.0_);_(* \(#,##0.0\);_(* &quot;-&quot;??_);_(@_)"/>
  </numFmts>
  <fonts count="1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Calibri"/>
      <family val="2"/>
    </font>
    <font>
      <sz val="11"/>
      <color theme="1"/>
      <name val="Calibri"/>
      <family val="2"/>
    </font>
    <font>
      <sz val="14"/>
      <color theme="1"/>
      <name val="Calibri"/>
      <family val="2"/>
    </font>
    <font>
      <sz val="14"/>
      <color theme="1"/>
      <name val="Aptos Narrow"/>
      <family val="2"/>
      <scheme val="minor"/>
    </font>
    <font>
      <sz val="9"/>
      <color rgb="FF000000"/>
      <name val="Calibri"/>
      <family val="2"/>
    </font>
    <font>
      <sz val="9"/>
      <color theme="1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b/>
      <sz val="9"/>
      <color theme="1"/>
      <name val="Calibri"/>
      <family val="2"/>
    </font>
    <font>
      <sz val="9"/>
      <color rgb="FFFF0000"/>
      <name val="Calibri"/>
      <family val="2"/>
    </font>
    <font>
      <b/>
      <sz val="9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</fills>
  <borders count="31">
    <border>
      <left/>
      <right/>
      <top/>
      <bottom/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 style="medium">
        <color theme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theme="1"/>
      </top>
      <bottom style="thin">
        <color indexed="64"/>
      </bottom>
      <diagonal/>
    </border>
    <border>
      <left style="thin">
        <color indexed="64"/>
      </left>
      <right style="medium">
        <color theme="1"/>
      </right>
      <top style="medium">
        <color theme="1"/>
      </top>
      <bottom style="thin">
        <color indexed="64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theme="1"/>
      </right>
      <top/>
      <bottom/>
      <diagonal/>
    </border>
    <border>
      <left style="medium">
        <color theme="1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 style="medium">
        <color theme="1"/>
      </right>
      <top/>
      <bottom/>
      <diagonal/>
    </border>
    <border>
      <left style="medium">
        <color theme="1"/>
      </left>
      <right style="medium">
        <color theme="1"/>
      </right>
      <top style="thin">
        <color indexed="64"/>
      </top>
      <bottom style="medium">
        <color theme="1"/>
      </bottom>
      <diagonal/>
    </border>
    <border>
      <left style="medium">
        <color theme="1"/>
      </left>
      <right style="thin">
        <color indexed="64"/>
      </right>
      <top style="thin">
        <color indexed="64"/>
      </top>
      <bottom style="medium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theme="1"/>
      </bottom>
      <diagonal/>
    </border>
    <border>
      <left style="thin">
        <color indexed="64"/>
      </left>
      <right style="medium">
        <color theme="1"/>
      </right>
      <top style="thin">
        <color indexed="64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/>
      <bottom style="medium">
        <color theme="1"/>
      </bottom>
      <diagonal/>
    </border>
    <border>
      <left style="medium">
        <color theme="1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9">
    <xf numFmtId="0" fontId="0" fillId="0" borderId="0" xfId="0"/>
    <xf numFmtId="165" fontId="3" fillId="0" borderId="0" xfId="0" applyNumberFormat="1" applyFont="1"/>
    <xf numFmtId="165" fontId="0" fillId="0" borderId="0" xfId="0" applyNumberFormat="1"/>
    <xf numFmtId="165" fontId="4" fillId="0" borderId="0" xfId="0" applyNumberFormat="1" applyFont="1" applyAlignment="1">
      <alignment vertical="top"/>
    </xf>
    <xf numFmtId="165" fontId="5" fillId="0" borderId="0" xfId="0" applyNumberFormat="1" applyFont="1" applyAlignment="1">
      <alignment vertical="top"/>
    </xf>
    <xf numFmtId="0" fontId="5" fillId="0" borderId="0" xfId="0" applyFont="1" applyAlignment="1">
      <alignment vertical="top"/>
    </xf>
    <xf numFmtId="165" fontId="2" fillId="0" borderId="0" xfId="0" applyNumberFormat="1" applyFont="1"/>
    <xf numFmtId="0" fontId="2" fillId="0" borderId="9" xfId="0" applyFont="1" applyBorder="1" applyAlignment="1">
      <alignment horizontal="left" vertical="top" readingOrder="1"/>
    </xf>
    <xf numFmtId="0" fontId="6" fillId="0" borderId="10" xfId="0" applyFont="1" applyBorder="1" applyAlignment="1">
      <alignment horizontal="center" textRotation="90" wrapText="1" readingOrder="1"/>
    </xf>
    <xf numFmtId="0" fontId="6" fillId="0" borderId="11" xfId="0" applyFont="1" applyBorder="1" applyAlignment="1">
      <alignment horizontal="center" textRotation="90" wrapText="1" readingOrder="1"/>
    </xf>
    <xf numFmtId="0" fontId="6" fillId="0" borderId="12" xfId="0" applyFont="1" applyBorder="1" applyAlignment="1">
      <alignment horizontal="center" textRotation="90" wrapText="1" readingOrder="1"/>
    </xf>
    <xf numFmtId="0" fontId="2" fillId="0" borderId="11" xfId="0" applyFont="1" applyBorder="1" applyAlignment="1">
      <alignment horizontal="center" textRotation="90" wrapText="1" readingOrder="1"/>
    </xf>
    <xf numFmtId="165" fontId="7" fillId="0" borderId="0" xfId="0" applyNumberFormat="1" applyFont="1"/>
    <xf numFmtId="0" fontId="7" fillId="0" borderId="0" xfId="0" applyFont="1"/>
    <xf numFmtId="0" fontId="6" fillId="0" borderId="4" xfId="0" applyFont="1" applyBorder="1" applyAlignment="1">
      <alignment horizontal="left" vertical="center" wrapText="1"/>
    </xf>
    <xf numFmtId="0" fontId="6" fillId="0" borderId="13" xfId="0" applyFont="1" applyBorder="1" applyAlignment="1">
      <alignment horizontal="left" vertical="center" wrapText="1"/>
    </xf>
    <xf numFmtId="0" fontId="6" fillId="0" borderId="18" xfId="0" applyFont="1" applyBorder="1" applyAlignment="1">
      <alignment horizontal="left" vertical="center" wrapText="1"/>
    </xf>
    <xf numFmtId="165" fontId="8" fillId="0" borderId="0" xfId="0" applyNumberFormat="1" applyFont="1"/>
    <xf numFmtId="0" fontId="8" fillId="0" borderId="0" xfId="0" applyFont="1"/>
    <xf numFmtId="0" fontId="9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0" fontId="9" fillId="3" borderId="0" xfId="0" applyFont="1" applyFill="1" applyAlignment="1">
      <alignment horizontal="left"/>
    </xf>
    <xf numFmtId="165" fontId="9" fillId="0" borderId="0" xfId="0" applyNumberFormat="1" applyFont="1"/>
    <xf numFmtId="165" fontId="2" fillId="0" borderId="0" xfId="0" applyNumberFormat="1" applyFont="1" applyAlignment="1">
      <alignment vertical="top"/>
    </xf>
    <xf numFmtId="0" fontId="2" fillId="2" borderId="8" xfId="0" applyFont="1" applyFill="1" applyBorder="1" applyAlignment="1">
      <alignment horizontal="center" vertical="top"/>
    </xf>
    <xf numFmtId="165" fontId="11" fillId="3" borderId="0" xfId="0" applyNumberFormat="1" applyFont="1" applyFill="1"/>
    <xf numFmtId="165" fontId="11" fillId="0" borderId="0" xfId="0" applyNumberFormat="1" applyFont="1"/>
    <xf numFmtId="2" fontId="2" fillId="0" borderId="5" xfId="0" applyNumberFormat="1" applyFont="1" applyBorder="1" applyAlignment="1">
      <alignment horizontal="right"/>
    </xf>
    <xf numFmtId="2" fontId="2" fillId="0" borderId="6" xfId="1" applyNumberFormat="1" applyFont="1" applyBorder="1" applyAlignment="1">
      <alignment horizontal="right"/>
    </xf>
    <xf numFmtId="2" fontId="2" fillId="0" borderId="7" xfId="2" applyNumberFormat="1" applyFont="1" applyBorder="1" applyAlignment="1">
      <alignment horizontal="right"/>
    </xf>
    <xf numFmtId="2" fontId="2" fillId="0" borderId="6" xfId="0" applyNumberFormat="1" applyFont="1" applyBorder="1" applyAlignment="1">
      <alignment horizontal="right"/>
    </xf>
    <xf numFmtId="2" fontId="2" fillId="0" borderId="7" xfId="0" applyNumberFormat="1" applyFont="1" applyBorder="1" applyAlignment="1">
      <alignment horizontal="right"/>
    </xf>
    <xf numFmtId="2" fontId="2" fillId="0" borderId="14" xfId="0" applyNumberFormat="1" applyFont="1" applyBorder="1" applyAlignment="1">
      <alignment horizontal="right"/>
    </xf>
    <xf numFmtId="2" fontId="2" fillId="0" borderId="15" xfId="1" applyNumberFormat="1" applyFont="1" applyBorder="1" applyAlignment="1">
      <alignment horizontal="right"/>
    </xf>
    <xf numFmtId="2" fontId="2" fillId="0" borderId="16" xfId="2" applyNumberFormat="1" applyFont="1" applyBorder="1" applyAlignment="1">
      <alignment horizontal="right"/>
    </xf>
    <xf numFmtId="2" fontId="2" fillId="0" borderId="15" xfId="0" applyNumberFormat="1" applyFont="1" applyBorder="1" applyAlignment="1">
      <alignment horizontal="right"/>
    </xf>
    <xf numFmtId="2" fontId="2" fillId="0" borderId="16" xfId="0" applyNumberFormat="1" applyFont="1" applyBorder="1" applyAlignment="1">
      <alignment horizontal="right"/>
    </xf>
    <xf numFmtId="2" fontId="2" fillId="0" borderId="19" xfId="0" applyNumberFormat="1" applyFont="1" applyBorder="1" applyAlignment="1">
      <alignment horizontal="right"/>
    </xf>
    <xf numFmtId="2" fontId="2" fillId="0" borderId="20" xfId="1" applyNumberFormat="1" applyFont="1" applyBorder="1" applyAlignment="1">
      <alignment horizontal="right"/>
    </xf>
    <xf numFmtId="2" fontId="2" fillId="0" borderId="21" xfId="2" applyNumberFormat="1" applyFont="1" applyBorder="1" applyAlignment="1">
      <alignment horizontal="right"/>
    </xf>
    <xf numFmtId="2" fontId="2" fillId="0" borderId="20" xfId="0" applyNumberFormat="1" applyFont="1" applyBorder="1" applyAlignment="1">
      <alignment horizontal="right"/>
    </xf>
    <xf numFmtId="2" fontId="2" fillId="0" borderId="21" xfId="0" applyNumberFormat="1" applyFont="1" applyBorder="1" applyAlignment="1">
      <alignment horizontal="right"/>
    </xf>
    <xf numFmtId="2" fontId="2" fillId="0" borderId="23" xfId="0" applyNumberFormat="1" applyFont="1" applyBorder="1" applyAlignment="1">
      <alignment horizontal="right"/>
    </xf>
    <xf numFmtId="164" fontId="9" fillId="3" borderId="0" xfId="1" applyFont="1" applyFill="1" applyAlignment="1">
      <alignment horizontal="right"/>
    </xf>
    <xf numFmtId="0" fontId="2" fillId="2" borderId="1" xfId="0" applyFont="1" applyFill="1" applyBorder="1" applyAlignment="1">
      <alignment horizontal="center" vertical="top"/>
    </xf>
    <xf numFmtId="166" fontId="2" fillId="0" borderId="6" xfId="0" applyNumberFormat="1" applyFont="1" applyBorder="1" applyAlignment="1">
      <alignment horizontal="right"/>
    </xf>
    <xf numFmtId="166" fontId="2" fillId="0" borderId="15" xfId="0" applyNumberFormat="1" applyFont="1" applyBorder="1" applyAlignment="1">
      <alignment horizontal="right"/>
    </xf>
    <xf numFmtId="166" fontId="2" fillId="0" borderId="20" xfId="0" applyNumberFormat="1" applyFont="1" applyBorder="1" applyAlignment="1">
      <alignment horizontal="right"/>
    </xf>
    <xf numFmtId="167" fontId="2" fillId="0" borderId="24" xfId="1" applyNumberFormat="1" applyFont="1" applyBorder="1" applyAlignment="1">
      <alignment vertical="top" wrapText="1" readingOrder="1"/>
    </xf>
    <xf numFmtId="167" fontId="6" fillId="0" borderId="25" xfId="1" applyNumberFormat="1" applyFont="1" applyBorder="1" applyAlignment="1">
      <alignment vertical="center" wrapText="1"/>
    </xf>
    <xf numFmtId="167" fontId="6" fillId="0" borderId="26" xfId="1" applyNumberFormat="1" applyFont="1" applyBorder="1" applyAlignment="1">
      <alignment vertical="center" wrapText="1"/>
    </xf>
    <xf numFmtId="167" fontId="6" fillId="0" borderId="27" xfId="1" applyNumberFormat="1" applyFont="1" applyBorder="1" applyAlignment="1">
      <alignment vertical="center" wrapText="1"/>
    </xf>
    <xf numFmtId="167" fontId="6" fillId="0" borderId="28" xfId="1" applyNumberFormat="1" applyFont="1" applyBorder="1" applyAlignment="1">
      <alignment vertical="center" wrapText="1"/>
    </xf>
    <xf numFmtId="167" fontId="6" fillId="0" borderId="29" xfId="1" applyNumberFormat="1" applyFont="1" applyBorder="1" applyAlignment="1">
      <alignment vertical="center" wrapText="1"/>
    </xf>
    <xf numFmtId="167" fontId="6" fillId="0" borderId="30" xfId="1" applyNumberFormat="1" applyFont="1" applyBorder="1" applyAlignment="1">
      <alignment vertical="center" wrapText="1"/>
    </xf>
    <xf numFmtId="167" fontId="2" fillId="3" borderId="0" xfId="1" applyNumberFormat="1" applyFont="1" applyFill="1" applyAlignment="1"/>
    <xf numFmtId="0" fontId="9" fillId="2" borderId="9" xfId="0" applyFont="1" applyFill="1" applyBorder="1" applyAlignment="1">
      <alignment horizontal="center" vertical="center" textRotation="90"/>
    </xf>
    <xf numFmtId="0" fontId="9" fillId="2" borderId="17" xfId="0" applyFont="1" applyFill="1" applyBorder="1" applyAlignment="1">
      <alignment horizontal="center" vertical="center" textRotation="90"/>
    </xf>
    <xf numFmtId="0" fontId="9" fillId="2" borderId="22" xfId="0" applyFont="1" applyFill="1" applyBorder="1" applyAlignment="1">
      <alignment horizontal="center" vertical="center" textRotation="90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top"/>
    </xf>
    <xf numFmtId="0" fontId="2" fillId="2" borderId="2" xfId="0" applyFont="1" applyFill="1" applyBorder="1" applyAlignment="1">
      <alignment horizontal="center" vertical="top"/>
    </xf>
    <xf numFmtId="0" fontId="2" fillId="2" borderId="3" xfId="0" applyFont="1" applyFill="1" applyBorder="1" applyAlignment="1">
      <alignment horizontal="center" vertical="top"/>
    </xf>
    <xf numFmtId="0" fontId="2" fillId="2" borderId="1" xfId="0" applyFont="1" applyFill="1" applyBorder="1" applyAlignment="1">
      <alignment horizontal="center" vertical="top" wrapText="1"/>
    </xf>
    <xf numFmtId="0" fontId="2" fillId="2" borderId="2" xfId="0" applyFont="1" applyFill="1" applyBorder="1" applyAlignment="1">
      <alignment horizontal="center" vertical="top" wrapText="1"/>
    </xf>
    <xf numFmtId="0" fontId="2" fillId="2" borderId="3" xfId="0" applyFont="1" applyFill="1" applyBorder="1" applyAlignment="1">
      <alignment horizontal="center" vertical="top" wrapText="1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giar-my.sharepoint.com/personal/s_lewis_cgiar_org/Documents/TAAT/R4D/KPIS/DASHBOARD/calculations%20-%20KPI%20by%20FTE%20and%20$.xlsx" TargetMode="External"/><Relationship Id="rId1" Type="http://schemas.openxmlformats.org/officeDocument/2006/relationships/externalLinkPath" Target="https://cgiar-my.sharepoint.com/personal/s_lewis_cgiar_org/Documents/TAAT/R4D/KPIS/DASHBOARD/calculations%20-%20KPI%20by%20FTE%20and%20$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 1"/>
      <sheetName val="PR 2"/>
      <sheetName val="PR 3"/>
      <sheetName val="PR 4"/>
      <sheetName val="PR 5"/>
      <sheetName val="PR 6"/>
      <sheetName val="PR 7"/>
      <sheetName val="PR 8"/>
      <sheetName val="PR 9"/>
      <sheetName val="PR 10"/>
      <sheetName val="PR 11"/>
      <sheetName val="PR 12"/>
      <sheetName val="PR 13"/>
      <sheetName val="PR 14"/>
      <sheetName val="PR15"/>
      <sheetName val="PR 16"/>
      <sheetName val="PR 18"/>
      <sheetName val="PR 19"/>
      <sheetName val="PR20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>
        <row r="4">
          <cell r="G4">
            <v>0.65217391304347827</v>
          </cell>
        </row>
      </sheetData>
      <sheetData sheetId="8">
        <row r="4">
          <cell r="G4">
            <v>6.521739130434782E-4</v>
          </cell>
          <cell r="H4">
            <v>1.1792063636465733E-3</v>
          </cell>
        </row>
      </sheetData>
      <sheetData sheetId="9">
        <row r="5">
          <cell r="G5">
            <v>0.25</v>
          </cell>
          <cell r="H5">
            <v>0.28541663693576702</v>
          </cell>
        </row>
      </sheetData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88F41-317A-416A-97E9-EC5FF06475CE}">
  <sheetPr>
    <tabColor rgb="FFFF0000"/>
    <pageSetUpPr fitToPage="1"/>
  </sheetPr>
  <dimension ref="B1:W22"/>
  <sheetViews>
    <sheetView tabSelected="1" zoomScale="60" zoomScaleNormal="60" zoomScaleSheetLayoutView="75" workbookViewId="0">
      <pane ySplit="3" topLeftCell="A4" activePane="bottomLeft" state="frozen"/>
      <selection activeCell="D3" sqref="D3:E3"/>
      <selection pane="bottomLeft" activeCell="J3" sqref="J3"/>
    </sheetView>
  </sheetViews>
  <sheetFormatPr defaultRowHeight="14.4"/>
  <cols>
    <col min="2" max="2" width="3.21875" style="27" customWidth="1"/>
    <col min="3" max="3" width="37.109375" style="12" customWidth="1"/>
    <col min="4" max="4" width="5.77734375" style="12" customWidth="1"/>
    <col min="5" max="9" width="6.77734375" style="12" customWidth="1"/>
    <col min="10" max="10" width="11.44140625" style="12" bestFit="1" customWidth="1"/>
    <col min="11" max="12" width="6.77734375" style="12" customWidth="1"/>
    <col min="13" max="13" width="8.33203125" style="12" customWidth="1"/>
    <col min="14" max="16" width="6.77734375" style="12" customWidth="1"/>
    <col min="17" max="17" width="8.21875" style="2" customWidth="1"/>
    <col min="18" max="18" width="6.21875" style="2" customWidth="1"/>
    <col min="19" max="23" width="8.21875" style="2" customWidth="1"/>
  </cols>
  <sheetData>
    <row r="1" spans="2:23" ht="15" thickBot="1">
      <c r="B1" s="6"/>
      <c r="C1" s="60" t="s">
        <v>0</v>
      </c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2"/>
      <c r="Q1" s="1"/>
      <c r="R1" s="1"/>
    </row>
    <row r="2" spans="2:23" s="5" customFormat="1" ht="18.600000000000001" thickBot="1">
      <c r="B2" s="24"/>
      <c r="C2" s="25"/>
      <c r="D2" s="45"/>
      <c r="E2" s="63" t="s">
        <v>1</v>
      </c>
      <c r="F2" s="64"/>
      <c r="G2" s="65"/>
      <c r="H2" s="66" t="s">
        <v>2</v>
      </c>
      <c r="I2" s="67"/>
      <c r="J2" s="67"/>
      <c r="K2" s="68"/>
      <c r="L2" s="66" t="s">
        <v>3</v>
      </c>
      <c r="M2" s="67"/>
      <c r="N2" s="67"/>
      <c r="O2" s="67"/>
      <c r="P2" s="68"/>
      <c r="Q2" s="3"/>
      <c r="R2" s="3"/>
      <c r="S2" s="4"/>
      <c r="T2" s="4"/>
      <c r="U2" s="4"/>
      <c r="V2" s="4"/>
      <c r="W2" s="4"/>
    </row>
    <row r="3" spans="2:23" s="13" customFormat="1" ht="143.55000000000001" customHeight="1" thickBot="1">
      <c r="B3" s="23"/>
      <c r="C3" s="7"/>
      <c r="D3" s="49" t="s">
        <v>34</v>
      </c>
      <c r="E3" s="8" t="s">
        <v>18</v>
      </c>
      <c r="F3" s="9" t="s">
        <v>19</v>
      </c>
      <c r="G3" s="10" t="s">
        <v>20</v>
      </c>
      <c r="H3" s="8" t="s">
        <v>21</v>
      </c>
      <c r="I3" s="9" t="s">
        <v>22</v>
      </c>
      <c r="J3" s="9" t="s">
        <v>23</v>
      </c>
      <c r="K3" s="10" t="s">
        <v>24</v>
      </c>
      <c r="L3" s="8" t="s">
        <v>4</v>
      </c>
      <c r="M3" s="11" t="s">
        <v>5</v>
      </c>
      <c r="N3" s="11" t="s">
        <v>25</v>
      </c>
      <c r="O3" s="9" t="s">
        <v>26</v>
      </c>
      <c r="P3" s="10" t="s">
        <v>27</v>
      </c>
      <c r="Q3" s="6"/>
      <c r="R3" s="6"/>
      <c r="S3" s="12"/>
      <c r="T3" s="12"/>
      <c r="U3" s="12"/>
      <c r="V3" s="12"/>
      <c r="W3" s="12"/>
    </row>
    <row r="4" spans="2:23" ht="15.45" customHeight="1">
      <c r="B4" s="57" t="s">
        <v>6</v>
      </c>
      <c r="C4" s="14" t="s">
        <v>7</v>
      </c>
      <c r="D4" s="50">
        <v>3.4135987800000001</v>
      </c>
      <c r="E4" s="28">
        <v>6.4448113026335205</v>
      </c>
      <c r="F4" s="29">
        <v>0.9185948577454921</v>
      </c>
      <c r="G4" s="30">
        <v>0.2929459683015237</v>
      </c>
      <c r="H4" s="28">
        <v>0.2929459683015237</v>
      </c>
      <c r="I4" s="31">
        <v>0.2929459683015237</v>
      </c>
      <c r="J4" s="31">
        <v>19.920325844503608</v>
      </c>
      <c r="K4" s="32">
        <v>53.902058167480362</v>
      </c>
      <c r="L4" s="28" t="s">
        <v>8</v>
      </c>
      <c r="M4" s="46" t="s">
        <v>8</v>
      </c>
      <c r="N4" s="31" t="s">
        <v>8</v>
      </c>
      <c r="O4" s="31">
        <v>0.2929459683015237</v>
      </c>
      <c r="P4" s="32">
        <v>0</v>
      </c>
      <c r="Q4" s="1"/>
    </row>
    <row r="5" spans="2:23" ht="15.6" customHeight="1">
      <c r="B5" s="58"/>
      <c r="C5" s="15" t="s">
        <v>9</v>
      </c>
      <c r="D5" s="51">
        <v>12.720419820000002</v>
      </c>
      <c r="E5" s="33">
        <v>4.0486085151865678</v>
      </c>
      <c r="F5" s="34">
        <v>0.17585555770903244</v>
      </c>
      <c r="G5" s="35">
        <v>0</v>
      </c>
      <c r="H5" s="33">
        <v>1.8867301818345172</v>
      </c>
      <c r="I5" s="36">
        <v>2.20118521214027</v>
      </c>
      <c r="J5" s="36">
        <v>8.4902858182553285</v>
      </c>
      <c r="K5" s="37">
        <v>16.823344121357778</v>
      </c>
      <c r="L5" s="33">
        <v>1.18</v>
      </c>
      <c r="M5" s="47">
        <f>'[1]PR 9'!$H$4</f>
        <v>1.1792063636465733E-3</v>
      </c>
      <c r="N5" s="36" t="s">
        <v>8</v>
      </c>
      <c r="O5" s="36">
        <v>0.62891006061150567</v>
      </c>
      <c r="P5" s="37">
        <v>0.39306878788219107</v>
      </c>
      <c r="Q5" s="1"/>
    </row>
    <row r="6" spans="2:23" ht="15.6" customHeight="1">
      <c r="B6" s="58"/>
      <c r="C6" s="15" t="s">
        <v>10</v>
      </c>
      <c r="D6" s="51">
        <v>3.5036499999999999</v>
      </c>
      <c r="E6" s="33">
        <v>1.427083184678835</v>
      </c>
      <c r="F6" s="34">
        <v>0.35677079616970875</v>
      </c>
      <c r="G6" s="35">
        <v>0</v>
      </c>
      <c r="H6" s="33">
        <v>7.4208325603299423</v>
      </c>
      <c r="I6" s="36">
        <v>5.4229161017795731</v>
      </c>
      <c r="J6" s="36">
        <v>1.427083184678835</v>
      </c>
      <c r="K6" s="37">
        <v>32.252079973741665</v>
      </c>
      <c r="L6" s="33" t="s">
        <v>8</v>
      </c>
      <c r="M6" s="47" t="s">
        <v>8</v>
      </c>
      <c r="N6" s="36">
        <f>'[1]PR 10'!$H$5</f>
        <v>0.28541663693576702</v>
      </c>
      <c r="O6" s="36">
        <v>0</v>
      </c>
      <c r="P6" s="37">
        <v>0</v>
      </c>
      <c r="Q6" s="1"/>
    </row>
    <row r="7" spans="2:23" ht="15.6" customHeight="1" thickBot="1">
      <c r="B7" s="59"/>
      <c r="C7" s="16" t="s">
        <v>11</v>
      </c>
      <c r="D7" s="52">
        <v>21.304912170000001</v>
      </c>
      <c r="E7" s="38">
        <v>0.72283799515893521</v>
      </c>
      <c r="F7" s="39">
        <v>4.8189199677262338E-2</v>
      </c>
      <c r="G7" s="40">
        <v>0</v>
      </c>
      <c r="H7" s="38">
        <v>0.23468766076588804</v>
      </c>
      <c r="I7" s="41">
        <v>0.32856272507224321</v>
      </c>
      <c r="J7" s="41">
        <v>105.46863474819008</v>
      </c>
      <c r="K7" s="42">
        <v>14.50369743533188</v>
      </c>
      <c r="L7" s="38" t="s">
        <v>8</v>
      </c>
      <c r="M7" s="48" t="s">
        <v>8</v>
      </c>
      <c r="N7" s="41" t="s">
        <v>8</v>
      </c>
      <c r="O7" s="41">
        <v>0.79793804660401935</v>
      </c>
      <c r="P7" s="42">
        <v>9.3875064306355213E-2</v>
      </c>
      <c r="Q7" s="1"/>
    </row>
    <row r="8" spans="2:23" ht="15.6" customHeight="1">
      <c r="B8" s="57" t="s">
        <v>12</v>
      </c>
      <c r="C8" s="14" t="s">
        <v>13</v>
      </c>
      <c r="D8" s="50">
        <v>7.721148311538462</v>
      </c>
      <c r="E8" s="28">
        <v>5.3683724657972496</v>
      </c>
      <c r="F8" s="29">
        <v>0.44736437214977082</v>
      </c>
      <c r="G8" s="30">
        <v>0.12951441413262363</v>
      </c>
      <c r="H8" s="28">
        <v>1.1656297271936127</v>
      </c>
      <c r="I8" s="31">
        <v>1.1656297271936127</v>
      </c>
      <c r="J8" s="31">
        <v>13.210470241527611</v>
      </c>
      <c r="K8" s="32">
        <v>1.2951441413262363</v>
      </c>
      <c r="L8" s="28" t="s">
        <v>8</v>
      </c>
      <c r="M8" s="46" t="s">
        <v>8</v>
      </c>
      <c r="N8" s="31" t="s">
        <v>8</v>
      </c>
      <c r="O8" s="31">
        <v>0.77708648479574172</v>
      </c>
      <c r="P8" s="32">
        <v>0.25902882826524726</v>
      </c>
      <c r="Q8" s="1"/>
    </row>
    <row r="9" spans="2:23" ht="15.6" customHeight="1">
      <c r="B9" s="58"/>
      <c r="C9" s="15" t="s">
        <v>14</v>
      </c>
      <c r="D9" s="51">
        <v>12.273168915897436</v>
      </c>
      <c r="E9" s="33">
        <v>1.7004573263036482</v>
      </c>
      <c r="F9" s="34">
        <v>8.5022866315182424E-2</v>
      </c>
      <c r="G9" s="35">
        <v>6.7627196014951027E-2</v>
      </c>
      <c r="H9" s="33">
        <v>1.7925280871432805</v>
      </c>
      <c r="I9" s="36">
        <v>1.1406996918184511</v>
      </c>
      <c r="J9" s="36">
        <v>259.50917988869764</v>
      </c>
      <c r="K9" s="37">
        <v>18.984502013835652</v>
      </c>
      <c r="L9" s="33" t="s">
        <v>8</v>
      </c>
      <c r="M9" s="47" t="s">
        <v>8</v>
      </c>
      <c r="N9" s="36" t="s">
        <v>8</v>
      </c>
      <c r="O9" s="36">
        <v>8.147854941560366E-2</v>
      </c>
      <c r="P9" s="37">
        <v>0.7333069447404329</v>
      </c>
      <c r="Q9" s="1"/>
    </row>
    <row r="10" spans="2:23" ht="15.6" customHeight="1">
      <c r="B10" s="58"/>
      <c r="C10" s="15" t="s">
        <v>28</v>
      </c>
      <c r="D10" s="51">
        <v>7.1819852465641034</v>
      </c>
      <c r="E10" s="33">
        <v>2.1581776441848408</v>
      </c>
      <c r="F10" s="34">
        <v>0.30831109202640583</v>
      </c>
      <c r="G10" s="35">
        <v>0.27847453473352785</v>
      </c>
      <c r="H10" s="33">
        <v>0.97466087156734749</v>
      </c>
      <c r="I10" s="36">
        <v>0.4177118021002918</v>
      </c>
      <c r="J10" s="36">
        <v>522.69670169483186</v>
      </c>
      <c r="K10" s="37">
        <v>2.7847453473352788</v>
      </c>
      <c r="L10" s="33" t="s">
        <v>8</v>
      </c>
      <c r="M10" s="47" t="s">
        <v>8</v>
      </c>
      <c r="N10" s="36" t="s">
        <v>8</v>
      </c>
      <c r="O10" s="36">
        <v>1.3923726736676394</v>
      </c>
      <c r="P10" s="37">
        <v>0.27847453473352785</v>
      </c>
      <c r="Q10" s="1"/>
    </row>
    <row r="11" spans="2:23" ht="15.6" customHeight="1" thickBot="1">
      <c r="B11" s="59"/>
      <c r="C11" s="16" t="s">
        <v>15</v>
      </c>
      <c r="D11" s="52">
        <v>0.57107699999999995</v>
      </c>
      <c r="E11" s="38">
        <v>0</v>
      </c>
      <c r="F11" s="39">
        <v>0</v>
      </c>
      <c r="G11" s="40">
        <v>0</v>
      </c>
      <c r="H11" s="38">
        <v>3.5021547006795934</v>
      </c>
      <c r="I11" s="41">
        <v>1.7510773503397967</v>
      </c>
      <c r="J11" s="41">
        <v>0</v>
      </c>
      <c r="K11" s="42">
        <v>0</v>
      </c>
      <c r="L11" s="38" t="s">
        <v>8</v>
      </c>
      <c r="M11" s="48" t="s">
        <v>8</v>
      </c>
      <c r="N11" s="41" t="s">
        <v>8</v>
      </c>
      <c r="O11" s="41">
        <v>5.2532320510193893</v>
      </c>
      <c r="P11" s="42">
        <v>5.2532320510193893</v>
      </c>
      <c r="Q11" s="1"/>
    </row>
    <row r="12" spans="2:23" ht="15.6" customHeight="1">
      <c r="B12" s="57" t="s">
        <v>16</v>
      </c>
      <c r="C12" s="14" t="s">
        <v>29</v>
      </c>
      <c r="D12" s="53">
        <v>1.3649733500000001</v>
      </c>
      <c r="E12" s="28">
        <v>7.267541157488532</v>
      </c>
      <c r="F12" s="29">
        <v>0.66068555977168475</v>
      </c>
      <c r="G12" s="30">
        <v>0</v>
      </c>
      <c r="H12" s="28">
        <v>3.6630751801857522</v>
      </c>
      <c r="I12" s="31">
        <v>3.6630751801857522</v>
      </c>
      <c r="J12" s="31">
        <v>68.865813387492139</v>
      </c>
      <c r="K12" s="32">
        <v>79.855038928049396</v>
      </c>
      <c r="L12" s="43" t="s">
        <v>8</v>
      </c>
      <c r="M12" s="46" t="s">
        <v>8</v>
      </c>
      <c r="N12" s="31" t="s">
        <v>8</v>
      </c>
      <c r="O12" s="31">
        <v>0</v>
      </c>
      <c r="P12" s="32">
        <v>0</v>
      </c>
      <c r="Q12" s="1"/>
    </row>
    <row r="13" spans="2:23" ht="15.6" customHeight="1">
      <c r="B13" s="58"/>
      <c r="C13" s="15" t="s">
        <v>30</v>
      </c>
      <c r="D13" s="54">
        <v>7.5363555180000006</v>
      </c>
      <c r="E13" s="33">
        <v>0.8757548637715421</v>
      </c>
      <c r="F13" s="34">
        <v>7.9614078524685647E-2</v>
      </c>
      <c r="G13" s="35">
        <v>0</v>
      </c>
      <c r="H13" s="33">
        <v>0.53076052349790426</v>
      </c>
      <c r="I13" s="36">
        <v>0.39807039262342825</v>
      </c>
      <c r="J13" s="36">
        <v>253.70353023199826</v>
      </c>
      <c r="K13" s="37">
        <v>20.699660416418268</v>
      </c>
      <c r="L13" s="33" t="s">
        <v>8</v>
      </c>
      <c r="M13" s="47" t="s">
        <v>8</v>
      </c>
      <c r="N13" s="36" t="s">
        <v>8</v>
      </c>
      <c r="O13" s="36">
        <v>0.33172532718619019</v>
      </c>
      <c r="P13" s="37">
        <v>0</v>
      </c>
      <c r="Q13" s="1"/>
    </row>
    <row r="14" spans="2:23" ht="15.6" customHeight="1">
      <c r="B14" s="58"/>
      <c r="C14" s="15" t="s">
        <v>31</v>
      </c>
      <c r="D14" s="54">
        <v>2.1255060000000001</v>
      </c>
      <c r="E14" s="33">
        <v>6.2714478340686881</v>
      </c>
      <c r="F14" s="34">
        <v>1.2542895668137375</v>
      </c>
      <c r="G14" s="35">
        <v>0.47047620660680323</v>
      </c>
      <c r="H14" s="33">
        <v>0.47047620660680323</v>
      </c>
      <c r="I14" s="36">
        <v>0.94095241321360645</v>
      </c>
      <c r="J14" s="36">
        <v>0</v>
      </c>
      <c r="K14" s="37">
        <v>0</v>
      </c>
      <c r="L14" s="33" t="s">
        <v>8</v>
      </c>
      <c r="M14" s="47" t="s">
        <v>8</v>
      </c>
      <c r="N14" s="36" t="s">
        <v>8</v>
      </c>
      <c r="O14" s="36">
        <v>1.1761905165170081</v>
      </c>
      <c r="P14" s="37">
        <v>0</v>
      </c>
      <c r="Q14" s="1"/>
    </row>
    <row r="15" spans="2:23" ht="15.6" customHeight="1">
      <c r="B15" s="58"/>
      <c r="C15" s="15" t="s">
        <v>32</v>
      </c>
      <c r="D15" s="54">
        <v>1.4569589599999999</v>
      </c>
      <c r="E15" s="33">
        <v>8.5795141408787519</v>
      </c>
      <c r="F15" s="34">
        <v>2.144878535219688</v>
      </c>
      <c r="G15" s="35">
        <v>0</v>
      </c>
      <c r="H15" s="33">
        <v>1.3727222625406004</v>
      </c>
      <c r="I15" s="36">
        <v>5.4908890501624015</v>
      </c>
      <c r="J15" s="36">
        <v>89.226947065139029</v>
      </c>
      <c r="K15" s="37">
        <v>10.295416969054504</v>
      </c>
      <c r="L15" s="33" t="s">
        <v>8</v>
      </c>
      <c r="M15" s="47" t="s">
        <v>8</v>
      </c>
      <c r="N15" s="36" t="s">
        <v>8</v>
      </c>
      <c r="O15" s="36">
        <v>0</v>
      </c>
      <c r="P15" s="37">
        <v>0</v>
      </c>
      <c r="Q15" s="1"/>
    </row>
    <row r="16" spans="2:23" ht="15.6" customHeight="1" thickBot="1">
      <c r="B16" s="59"/>
      <c r="C16" s="16" t="s">
        <v>33</v>
      </c>
      <c r="D16" s="55">
        <v>5.7995670199999996</v>
      </c>
      <c r="E16" s="38">
        <v>0.51727999515384515</v>
      </c>
      <c r="F16" s="39">
        <v>5.1727999515384517E-2</v>
      </c>
      <c r="G16" s="40">
        <v>0</v>
      </c>
      <c r="H16" s="38">
        <v>0.86213332525640862</v>
      </c>
      <c r="I16" s="41">
        <v>0.51727999515384515</v>
      </c>
      <c r="J16" s="41">
        <v>173.63365170664068</v>
      </c>
      <c r="K16" s="42">
        <v>13.966559869153819</v>
      </c>
      <c r="L16" s="38" t="s">
        <v>8</v>
      </c>
      <c r="M16" s="48" t="s">
        <v>8</v>
      </c>
      <c r="N16" s="41" t="s">
        <v>8</v>
      </c>
      <c r="O16" s="41">
        <v>0</v>
      </c>
      <c r="P16" s="42">
        <v>0</v>
      </c>
      <c r="Q16" s="1"/>
    </row>
    <row r="17" spans="2:23" s="18" customFormat="1">
      <c r="B17" s="26"/>
      <c r="C17" s="22" t="s">
        <v>17</v>
      </c>
      <c r="D17" s="56">
        <v>86.97332109200002</v>
      </c>
      <c r="E17" s="44">
        <v>3.1273958104035091</v>
      </c>
      <c r="F17" s="44">
        <v>2.2995557429437565E-2</v>
      </c>
      <c r="G17" s="44">
        <v>0.14947112329134418</v>
      </c>
      <c r="H17" s="44">
        <v>1.7246668072078175</v>
      </c>
      <c r="I17" s="44">
        <v>0.689866722883127</v>
      </c>
      <c r="J17" s="44">
        <v>137.97334457662541</v>
      </c>
      <c r="K17" s="44">
        <v>1.7246668072078175</v>
      </c>
      <c r="L17" s="44" t="s">
        <v>8</v>
      </c>
      <c r="M17" s="44" t="s">
        <v>8</v>
      </c>
      <c r="N17" s="44" t="s">
        <v>8</v>
      </c>
      <c r="O17" s="44">
        <v>0.22995557429437566</v>
      </c>
      <c r="P17" s="44">
        <v>0.3449333614415635</v>
      </c>
      <c r="Q17" s="17"/>
      <c r="R17" s="17"/>
      <c r="S17" s="17"/>
      <c r="T17" s="17"/>
      <c r="U17" s="17"/>
      <c r="V17" s="17"/>
      <c r="W17" s="17"/>
    </row>
    <row r="19" spans="2:23" hidden="1">
      <c r="C19" s="19"/>
      <c r="D19" s="19"/>
    </row>
    <row r="20" spans="2:23" hidden="1">
      <c r="C20" s="20"/>
      <c r="D20" s="20"/>
    </row>
    <row r="21" spans="2:23" hidden="1">
      <c r="C21" s="21"/>
      <c r="D21" s="21"/>
    </row>
    <row r="22" spans="2:23" hidden="1"/>
  </sheetData>
  <mergeCells count="7">
    <mergeCell ref="B4:B7"/>
    <mergeCell ref="B8:B11"/>
    <mergeCell ref="B12:B16"/>
    <mergeCell ref="C1:P1"/>
    <mergeCell ref="E2:G2"/>
    <mergeCell ref="H2:K2"/>
    <mergeCell ref="L2:P2"/>
  </mergeCells>
  <conditionalFormatting sqref="E4:E16">
    <cfRule type="colorScale" priority="108">
      <colorScale>
        <cfvo type="min"/>
        <cfvo type="formula" val="$E$17/2"/>
        <cfvo type="formula" val="$E$17"/>
        <color rgb="FFFF0000"/>
        <color rgb="FFFFFF00"/>
        <color rgb="FF00B050"/>
      </colorScale>
    </cfRule>
  </conditionalFormatting>
  <conditionalFormatting sqref="F4:F16">
    <cfRule type="colorScale" priority="109">
      <colorScale>
        <cfvo type="min"/>
        <cfvo type="formula" val="$F$17/2"/>
        <cfvo type="formula" val="$F$17"/>
        <color rgb="FFFF0000"/>
        <color rgb="FFFFFF00"/>
        <color rgb="FF00B050"/>
      </colorScale>
    </cfRule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:G16">
    <cfRule type="colorScale" priority="112">
      <colorScale>
        <cfvo type="min"/>
        <cfvo type="formula" val="$G$17/2"/>
        <cfvo type="formula" val="$G$17"/>
        <color rgb="FFFF0000"/>
        <color rgb="FFFFFF00"/>
        <color rgb="FF00B050"/>
      </colorScale>
    </cfRule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4:H16">
    <cfRule type="colorScale" priority="115">
      <colorScale>
        <cfvo type="min"/>
        <cfvo type="formula" val="$H$17/2"/>
        <cfvo type="formula" val="$H$17"/>
        <color rgb="FFFF0000"/>
        <color rgb="FFFFFF00"/>
        <color rgb="FF00B050"/>
      </colorScale>
    </cfRule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:I16">
    <cfRule type="colorScale" priority="118">
      <colorScale>
        <cfvo type="min"/>
        <cfvo type="formula" val="$I$17/2"/>
        <cfvo type="formula" val="$I$17"/>
        <color rgb="FFFF0000"/>
        <color rgb="FFFFFF00"/>
        <color rgb="FF00B050"/>
      </colorScale>
    </cfRule>
  </conditionalFormatting>
  <conditionalFormatting sqref="J4:J16">
    <cfRule type="colorScale" priority="119">
      <colorScale>
        <cfvo type="min"/>
        <cfvo type="formula" val="$J$17/2"/>
        <cfvo type="formula" val="$J$17"/>
        <color rgb="FFFF0000"/>
        <color rgb="FFFFFF00"/>
        <color rgb="FF00B050"/>
      </colorScale>
    </cfRule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:K16">
    <cfRule type="colorScale" priority="121">
      <colorScale>
        <cfvo type="min"/>
        <cfvo type="formula" val="$K$17/2"/>
        <cfvo type="formula" val="$K$17"/>
        <color rgb="FFFF0000"/>
        <color rgb="FFFFFF00"/>
        <color rgb="FF00B050"/>
      </colorScale>
    </cfRule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4:L16">
    <cfRule type="colorScale" priority="123">
      <colorScale>
        <cfvo type="min"/>
        <cfvo type="num" val="0"/>
        <cfvo type="formula" val="1.18"/>
        <color rgb="FFFF0000"/>
        <color rgb="FFFFEB84"/>
        <color rgb="FF00B050"/>
      </colorScale>
    </cfRule>
  </conditionalFormatting>
  <conditionalFormatting sqref="M4:M16">
    <cfRule type="colorScale" priority="124">
      <colorScale>
        <cfvo type="min"/>
        <cfvo type="num" val="0"/>
        <cfvo type="num" val="1E-3"/>
        <color rgb="FFFF0000"/>
        <color rgb="FFFFFF00"/>
        <color rgb="FF00B050"/>
      </colorScale>
    </cfRule>
  </conditionalFormatting>
  <conditionalFormatting sqref="N4:N5">
    <cfRule type="colorScale" priority="3">
      <colorScale>
        <cfvo type="min"/>
        <cfvo type="formula" val="MAX(#REF!)/2"/>
        <cfvo type="max"/>
        <color rgb="FFF8696B"/>
        <color rgb="FFFFEB84"/>
        <color rgb="FF63BE7B"/>
      </colorScale>
    </cfRule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7">
      <colorScale>
        <cfvo type="num" val="0"/>
        <cfvo type="num" val="0"/>
        <cfvo type="max"/>
        <color rgb="FF63BE7B"/>
        <color rgb="FFFFEB84"/>
        <color rgb="FFF8696B"/>
      </colorScale>
    </cfRule>
    <cfRule type="colorScale" priority="8">
      <colorScale>
        <cfvo type="min"/>
        <cfvo type="formula" val="MAX(#REF!)/2"/>
        <cfvo type="max"/>
        <color rgb="FFF8696B"/>
        <color rgb="FFFFEB84"/>
        <color rgb="FF63BE7B"/>
      </colorScale>
    </cfRule>
    <cfRule type="colorScale" priority="9">
      <colorScale>
        <cfvo type="min"/>
        <cfvo type="formula" val="MAX(#REF!)/2"/>
        <cfvo type="max"/>
        <color rgb="FFF8696B"/>
        <color rgb="FFFFEB84"/>
        <color rgb="FF63BE7B"/>
      </colorScale>
    </cfRule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">
      <colorScale>
        <cfvo type="num" val="0"/>
        <cfvo type="num" val="0"/>
        <cfvo type="max"/>
        <color rgb="FF63BE7B"/>
        <color rgb="FFFFEB84"/>
        <color rgb="FFF8696B"/>
      </colorScale>
    </cfRule>
  </conditionalFormatting>
  <conditionalFormatting sqref="N6">
    <cfRule type="colorScale" priority="42">
      <colorScale>
        <cfvo type="min"/>
        <cfvo type="formula" val="MAX($N$4:$N$16)/2"/>
        <cfvo type="max"/>
        <color rgb="FFF8696B"/>
        <color rgb="FFFFEB84"/>
        <color rgb="FF63BE7B"/>
      </colorScale>
    </cfRule>
    <cfRule type="colorScale" priority="44">
      <colorScale>
        <cfvo type="min"/>
        <cfvo type="formula" val="MAX(#REF!)/2"/>
        <cfvo type="max"/>
        <color rgb="FFF8696B"/>
        <color rgb="FFFFEB84"/>
        <color rgb="FF63BE7B"/>
      </colorScale>
    </cfRule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8">
      <colorScale>
        <cfvo type="num" val="0"/>
        <cfvo type="num" val="0"/>
        <cfvo type="max"/>
        <color rgb="FF63BE7B"/>
        <color rgb="FFFFEB84"/>
        <color rgb="FFF8696B"/>
      </colorScale>
    </cfRule>
  </conditionalFormatting>
  <conditionalFormatting sqref="N7:N16">
    <cfRule type="colorScale" priority="14">
      <colorScale>
        <cfvo type="min"/>
        <cfvo type="formula" val="MAX(#REF!)/2"/>
        <cfvo type="max"/>
        <color rgb="FFF8696B"/>
        <color rgb="FFFFEB84"/>
        <color rgb="FF63BE7B"/>
      </colorScale>
    </cfRule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">
      <colorScale>
        <cfvo type="num" val="0"/>
        <cfvo type="num" val="0"/>
        <cfvo type="max"/>
        <color rgb="FF63BE7B"/>
        <color rgb="FFFFEB84"/>
        <color rgb="FFF8696B"/>
      </colorScale>
    </cfRule>
    <cfRule type="colorScale" priority="19">
      <colorScale>
        <cfvo type="min"/>
        <cfvo type="formula" val="MAX(#REF!)/2"/>
        <cfvo type="max"/>
        <color rgb="FFF8696B"/>
        <color rgb="FFFFEB84"/>
        <color rgb="FF63BE7B"/>
      </colorScale>
    </cfRule>
    <cfRule type="colorScale" priority="20">
      <colorScale>
        <cfvo type="min"/>
        <cfvo type="formula" val="MAX(#REF!)/2"/>
        <cfvo type="max"/>
        <color rgb="FFF8696B"/>
        <color rgb="FFFFEB84"/>
        <color rgb="FF63BE7B"/>
      </colorScale>
    </cfRule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">
      <colorScale>
        <cfvo type="num" val="0"/>
        <cfvo type="num" val="0"/>
        <cfvo type="max"/>
        <color rgb="FF63BE7B"/>
        <color rgb="FFFFEB84"/>
        <color rgb="FFF8696B"/>
      </colorScale>
    </cfRule>
  </conditionalFormatting>
  <conditionalFormatting sqref="O4:O16">
    <cfRule type="colorScale" priority="125">
      <colorScale>
        <cfvo type="min"/>
        <cfvo type="formula" val="$O$17/2"/>
        <cfvo type="formula" val="$O$17"/>
        <color rgb="FFFF0000"/>
        <color rgb="FFFFFF00"/>
        <color rgb="FF00B050"/>
      </colorScale>
    </cfRule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4:P16">
    <cfRule type="colorScale" priority="128">
      <colorScale>
        <cfvo type="min"/>
        <cfvo type="formula" val="$P$17/2"/>
        <cfvo type="formula" val="$P$17"/>
        <color rgb="FFFF0000"/>
        <color rgb="FFFFFF00"/>
        <color rgb="FF00B050"/>
      </colorScale>
    </cfRule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2">
      <colorScale>
        <cfvo type="num" val="0"/>
        <cfvo type="num" val="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8" scale="60" orientation="landscape" r:id="rId1"/>
</worksheet>
</file>

<file path=docMetadata/LabelInfo.xml><?xml version="1.0" encoding="utf-8"?>
<clbl:labelList xmlns:clbl="http://schemas.microsoft.com/office/2020/mipLabelMetadata">
  <clbl:label id="{9d258917-277f-42cd-a3cd-14c4e9ee58bc}" enabled="1" method="Standard" siteId="{38ae3bcd-9579-4fd4-adda-b42e1495d55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Res, Cap, Product</vt:lpstr>
      <vt:lpstr>'Res, Cap, Product'!Print_Area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Lewis, Sabra (IITA)</dc:creator>
  <cp:lastModifiedBy>Devari, Aalakh (SI EA R&amp;D AU SDA)</cp:lastModifiedBy>
  <dcterms:created xsi:type="dcterms:W3CDTF">2026-04-08T13:55:15Z</dcterms:created>
  <dcterms:modified xsi:type="dcterms:W3CDTF">2026-04-12T06:52:41Z</dcterms:modified>
</cp:coreProperties>
</file>