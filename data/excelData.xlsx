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s_lewis_cgiar_org/Documents/TAAT/R4D/KPIS/vijay/"/>
    </mc:Choice>
  </mc:AlternateContent>
  <xr:revisionPtr revIDLastSave="0" documentId="8_{059FC6BD-A2C1-4838-8105-D49599E5864B}" xr6:coauthVersionLast="47" xr6:coauthVersionMax="47" xr10:uidLastSave="{00000000-0000-0000-0000-000000000000}"/>
  <bookViews>
    <workbookView xWindow="-110" yWindow="-110" windowWidth="19420" windowHeight="10300" xr2:uid="{60C6FB9E-1B92-4818-B8F8-C10D82D4AFAC}"/>
  </bookViews>
  <sheets>
    <sheet name="Res, Cap &amp; Products – KPI #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B20" i="1"/>
  <c r="N18" i="1"/>
  <c r="H18" i="1"/>
  <c r="B18" i="1"/>
</calcChain>
</file>

<file path=xl/sharedStrings.xml><?xml version="1.0" encoding="utf-8"?>
<sst xmlns="http://schemas.openxmlformats.org/spreadsheetml/2006/main" count="40" uniqueCount="28">
  <si>
    <t>IITA KPI Heat Map  |  KPI Count (#)  |  2025–2030</t>
  </si>
  <si>
    <t>Program</t>
  </si>
  <si>
    <t>K1  Papers (Thomson-indexed)</t>
  </si>
  <si>
    <t>K2  Papers per IRS</t>
  </si>
  <si>
    <t>K3  Thomson papers IF&gt;10</t>
  </si>
  <si>
    <t>2025</t>
  </si>
  <si>
    <t>2026</t>
  </si>
  <si>
    <t>2027</t>
  </si>
  <si>
    <t>2028</t>
  </si>
  <si>
    <t>2029</t>
  </si>
  <si>
    <t>2030</t>
  </si>
  <si>
    <t>Biotech</t>
  </si>
  <si>
    <t>Breeding</t>
  </si>
  <si>
    <t>Genebanks</t>
  </si>
  <si>
    <t>Seed System</t>
  </si>
  <si>
    <t>Plant Health</t>
  </si>
  <si>
    <t>Farming Systems</t>
  </si>
  <si>
    <t>NRM</t>
  </si>
  <si>
    <t>Mechanization</t>
  </si>
  <si>
    <t>FIAS</t>
  </si>
  <si>
    <t>GeYSI</t>
  </si>
  <si>
    <t>RCA</t>
  </si>
  <si>
    <t>Nutrition</t>
  </si>
  <si>
    <t>AVCM</t>
  </si>
  <si>
    <t>Annual total</t>
  </si>
  <si>
    <t>Max</t>
  </si>
  <si>
    <t>Annual Target</t>
  </si>
  <si>
    <t>Per Program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</si>
</sst>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3864"/>
      <name val="Arial"/>
      <family val="2"/>
    </font>
    <font>
      <b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BFBFBF"/>
      <name val="Arial"/>
      <family val="2"/>
    </font>
    <font>
      <sz val="9"/>
      <color rgb="FF59595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203864"/>
      </patternFill>
    </fill>
    <fill>
      <patternFill patternType="solid">
        <fgColor rgb="FF1E75BC"/>
      </patternFill>
    </fill>
    <fill>
      <patternFill patternType="solid">
        <fgColor rgb="FF0F6E56"/>
      </patternFill>
    </fill>
    <fill>
      <patternFill patternType="solid">
        <fgColor rgb="FF3B6D11"/>
      </patternFill>
    </fill>
    <fill>
      <patternFill patternType="solid">
        <fgColor rgb="FF854F0B"/>
      </patternFill>
    </fill>
    <fill>
      <patternFill patternType="solid">
        <fgColor rgb="FF993556"/>
      </patternFill>
    </fill>
    <fill>
      <patternFill patternType="solid">
        <fgColor rgb="FF534AB7"/>
      </patternFill>
    </fill>
    <fill>
      <patternFill patternType="solid">
        <fgColor rgb="FFD6E4F7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medium">
        <color rgb="FF595959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left" vertical="center"/>
    </xf>
    <xf numFmtId="164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 vertical="center"/>
    </xf>
    <xf numFmtId="164" fontId="5" fillId="5" borderId="1" xfId="1" applyNumberFormat="1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165" fontId="6" fillId="0" borderId="1" xfId="1" applyNumberFormat="1" applyFont="1" applyFill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12" borderId="0" xfId="0" applyFont="1" applyFill="1" applyAlignment="1">
      <alignment vertical="center"/>
    </xf>
    <xf numFmtId="164" fontId="8" fillId="12" borderId="1" xfId="1" applyNumberFormat="1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326-557F-46A5-AEA8-D42BBCF0052C}">
  <dimension ref="A1:S20"/>
  <sheetViews>
    <sheetView tabSelected="1" zoomScale="75" zoomScaleNormal="75" workbookViewId="0">
      <pane xSplit="1" ySplit="3" topLeftCell="B4" activePane="bottomRight" state="frozen"/>
      <selection pane="topRight"/>
      <selection pane="bottomLeft"/>
      <selection pane="bottomRight" activeCell="T1" sqref="T1:BV1048576"/>
    </sheetView>
  </sheetViews>
  <sheetFormatPr defaultRowHeight="14.5" x14ac:dyDescent="0.35"/>
  <cols>
    <col min="1" max="1" width="16" customWidth="1"/>
    <col min="2" max="2" width="5.7265625" style="2" customWidth="1"/>
    <col min="3" max="3" width="7.36328125" style="3" customWidth="1"/>
    <col min="4" max="4" width="7.453125" style="3" customWidth="1"/>
    <col min="5" max="5" width="7.08984375" style="3" customWidth="1"/>
    <col min="6" max="6" width="6.90625" style="3" customWidth="1"/>
    <col min="7" max="7" width="8.36328125" style="3" customWidth="1"/>
    <col min="8" max="8" width="4.81640625" style="3" customWidth="1"/>
    <col min="9" max="13" width="4.81640625" customWidth="1"/>
    <col min="14" max="19" width="4.81640625" style="3" customWidth="1"/>
  </cols>
  <sheetData>
    <row r="1" spans="1:19" ht="22" customHeight="1" x14ac:dyDescent="0.35">
      <c r="A1" s="1" t="s">
        <v>0</v>
      </c>
    </row>
    <row r="2" spans="1:19" ht="28" customHeight="1" x14ac:dyDescent="0.35">
      <c r="A2" s="4" t="s">
        <v>1</v>
      </c>
      <c r="B2" s="27" t="s">
        <v>2</v>
      </c>
      <c r="C2" s="28"/>
      <c r="D2" s="28"/>
      <c r="E2" s="28"/>
      <c r="F2" s="28"/>
      <c r="G2" s="28"/>
      <c r="H2" s="25" t="s">
        <v>3</v>
      </c>
      <c r="I2" s="26"/>
      <c r="J2" s="26"/>
      <c r="K2" s="26"/>
      <c r="L2" s="26"/>
      <c r="M2" s="26"/>
      <c r="N2" s="27" t="s">
        <v>4</v>
      </c>
      <c r="O2" s="28"/>
      <c r="P2" s="28"/>
      <c r="Q2" s="28"/>
      <c r="R2" s="28"/>
      <c r="S2" s="28"/>
    </row>
    <row r="3" spans="1:19" ht="18" customHeight="1" x14ac:dyDescent="0.35">
      <c r="B3" s="5" t="s">
        <v>5</v>
      </c>
      <c r="C3" s="6" t="s">
        <v>6</v>
      </c>
      <c r="D3" s="7" t="s">
        <v>7</v>
      </c>
      <c r="E3" s="8" t="s">
        <v>8</v>
      </c>
      <c r="F3" s="9" t="s">
        <v>9</v>
      </c>
      <c r="G3" s="10" t="s">
        <v>10</v>
      </c>
      <c r="H3" s="11" t="s">
        <v>5</v>
      </c>
      <c r="I3" s="12" t="s">
        <v>6</v>
      </c>
      <c r="J3" s="13" t="s">
        <v>7</v>
      </c>
      <c r="K3" s="14" t="s">
        <v>8</v>
      </c>
      <c r="L3" s="15" t="s">
        <v>9</v>
      </c>
      <c r="M3" s="16" t="s">
        <v>10</v>
      </c>
      <c r="N3" s="11" t="s">
        <v>5</v>
      </c>
      <c r="O3" s="6" t="s">
        <v>6</v>
      </c>
      <c r="P3" s="7" t="s">
        <v>7</v>
      </c>
      <c r="Q3" s="8" t="s">
        <v>8</v>
      </c>
      <c r="R3" s="9" t="s">
        <v>9</v>
      </c>
      <c r="S3" s="10" t="s">
        <v>10</v>
      </c>
    </row>
    <row r="4" spans="1:19" ht="15" customHeight="1" x14ac:dyDescent="0.35">
      <c r="A4" s="17" t="s">
        <v>11</v>
      </c>
      <c r="B4" s="18">
        <v>22</v>
      </c>
      <c r="C4" s="18">
        <v>18</v>
      </c>
      <c r="D4" s="18">
        <v>29</v>
      </c>
      <c r="E4" s="18">
        <v>16</v>
      </c>
      <c r="F4" s="18">
        <v>18</v>
      </c>
      <c r="G4" s="18">
        <v>31</v>
      </c>
      <c r="H4" s="19">
        <v>8</v>
      </c>
      <c r="I4" s="20"/>
      <c r="J4" s="20"/>
      <c r="K4" s="20"/>
      <c r="L4" s="20"/>
      <c r="M4" s="20"/>
      <c r="N4" s="19">
        <v>1</v>
      </c>
      <c r="O4" s="21"/>
      <c r="P4" s="21"/>
      <c r="Q4" s="21"/>
      <c r="R4" s="21"/>
      <c r="S4" s="21"/>
    </row>
    <row r="5" spans="1:19" ht="15" customHeight="1" x14ac:dyDescent="0.35">
      <c r="A5" s="17" t="s">
        <v>12</v>
      </c>
      <c r="B5" s="18">
        <v>35</v>
      </c>
      <c r="C5" s="18">
        <v>20</v>
      </c>
      <c r="D5" s="18">
        <v>40</v>
      </c>
      <c r="E5" s="18">
        <v>23</v>
      </c>
      <c r="F5" s="18">
        <v>21</v>
      </c>
      <c r="G5" s="18">
        <v>17</v>
      </c>
      <c r="H5" s="19">
        <v>13</v>
      </c>
      <c r="I5" s="20"/>
      <c r="J5" s="20"/>
      <c r="K5" s="20"/>
      <c r="L5" s="20"/>
      <c r="M5" s="20"/>
      <c r="N5" s="19">
        <v>0</v>
      </c>
      <c r="O5" s="21"/>
      <c r="P5" s="21"/>
      <c r="Q5" s="21"/>
      <c r="R5" s="21"/>
      <c r="S5" s="21"/>
    </row>
    <row r="6" spans="1:19" ht="15" customHeight="1" x14ac:dyDescent="0.35">
      <c r="A6" s="17" t="s">
        <v>13</v>
      </c>
      <c r="B6" s="18">
        <v>9</v>
      </c>
      <c r="C6" s="18">
        <v>4</v>
      </c>
      <c r="D6" s="18">
        <v>9</v>
      </c>
      <c r="E6" s="18">
        <v>7</v>
      </c>
      <c r="F6" s="18">
        <v>8</v>
      </c>
      <c r="G6" s="18">
        <v>10</v>
      </c>
      <c r="H6" s="19">
        <v>6</v>
      </c>
      <c r="I6" s="20"/>
      <c r="J6" s="20"/>
      <c r="K6" s="20"/>
      <c r="L6" s="20"/>
      <c r="M6" s="20"/>
      <c r="N6" s="19">
        <v>0</v>
      </c>
      <c r="O6" s="21"/>
      <c r="P6" s="21"/>
      <c r="Q6" s="21"/>
      <c r="R6" s="21"/>
      <c r="S6" s="21"/>
    </row>
    <row r="7" spans="1:19" ht="15" customHeight="1" x14ac:dyDescent="0.35">
      <c r="A7" s="17" t="s">
        <v>14</v>
      </c>
      <c r="B7" s="18">
        <v>8</v>
      </c>
      <c r="C7" s="18">
        <v>6</v>
      </c>
      <c r="D7" s="18">
        <v>4</v>
      </c>
      <c r="E7" s="18">
        <v>11</v>
      </c>
      <c r="F7" s="18">
        <v>5</v>
      </c>
      <c r="G7" s="18">
        <v>11</v>
      </c>
      <c r="H7" s="19">
        <v>5</v>
      </c>
      <c r="I7" s="20"/>
      <c r="J7" s="20"/>
      <c r="K7" s="20"/>
      <c r="L7" s="20"/>
      <c r="M7" s="20"/>
      <c r="N7" s="19">
        <v>0</v>
      </c>
      <c r="O7" s="21"/>
      <c r="P7" s="21"/>
      <c r="Q7" s="21"/>
      <c r="R7" s="21"/>
      <c r="S7" s="21"/>
    </row>
    <row r="8" spans="1:19" ht="15" customHeight="1" x14ac:dyDescent="0.35">
      <c r="A8" s="17" t="s">
        <v>15</v>
      </c>
      <c r="B8" s="18">
        <v>56</v>
      </c>
      <c r="C8" s="18">
        <v>5</v>
      </c>
      <c r="D8" s="18">
        <v>48</v>
      </c>
      <c r="E8" s="18">
        <v>62</v>
      </c>
      <c r="F8" s="18">
        <v>44</v>
      </c>
      <c r="G8" s="18">
        <v>26</v>
      </c>
      <c r="H8" s="19">
        <v>4.666666666666667</v>
      </c>
      <c r="I8" s="20"/>
      <c r="J8" s="20"/>
      <c r="K8" s="20"/>
      <c r="L8" s="20"/>
      <c r="M8" s="20"/>
      <c r="N8" s="19">
        <v>1</v>
      </c>
      <c r="O8" s="21"/>
      <c r="P8" s="21"/>
      <c r="Q8" s="21"/>
      <c r="R8" s="21"/>
      <c r="S8" s="21"/>
    </row>
    <row r="9" spans="1:19" ht="15" customHeight="1" x14ac:dyDescent="0.35">
      <c r="A9" s="17" t="s">
        <v>16</v>
      </c>
      <c r="B9" s="18">
        <v>13</v>
      </c>
      <c r="C9" s="18">
        <v>13</v>
      </c>
      <c r="D9" s="18">
        <v>45</v>
      </c>
      <c r="E9" s="18">
        <v>11</v>
      </c>
      <c r="F9" s="18">
        <v>6</v>
      </c>
      <c r="G9" s="18">
        <v>4</v>
      </c>
      <c r="H9" s="19">
        <v>9</v>
      </c>
      <c r="I9" s="20"/>
      <c r="J9" s="20"/>
      <c r="K9" s="20"/>
      <c r="L9" s="20"/>
      <c r="M9" s="20"/>
      <c r="N9" s="19">
        <v>1</v>
      </c>
      <c r="O9" s="21"/>
      <c r="P9" s="21"/>
      <c r="Q9" s="21"/>
      <c r="R9" s="21"/>
      <c r="S9" s="21"/>
    </row>
    <row r="10" spans="1:19" ht="15" customHeight="1" x14ac:dyDescent="0.35">
      <c r="A10" s="17" t="s">
        <v>17</v>
      </c>
      <c r="B10" s="18">
        <v>30</v>
      </c>
      <c r="C10" s="18">
        <v>18</v>
      </c>
      <c r="D10" s="18">
        <v>21</v>
      </c>
      <c r="E10" s="18">
        <v>26</v>
      </c>
      <c r="F10" s="18">
        <v>26</v>
      </c>
      <c r="G10" s="18">
        <v>31</v>
      </c>
      <c r="H10" s="19">
        <v>15</v>
      </c>
      <c r="I10" s="20"/>
      <c r="J10" s="20"/>
      <c r="K10" s="20"/>
      <c r="L10" s="20"/>
      <c r="M10" s="20"/>
      <c r="N10" s="19">
        <v>2</v>
      </c>
      <c r="O10" s="21"/>
      <c r="P10" s="21"/>
      <c r="Q10" s="21"/>
      <c r="R10" s="21"/>
      <c r="S10" s="21"/>
    </row>
    <row r="11" spans="1:19" ht="15" customHeight="1" x14ac:dyDescent="0.35">
      <c r="A11" s="17" t="s">
        <v>18</v>
      </c>
      <c r="B11" s="18">
        <v>1</v>
      </c>
      <c r="C11" s="18">
        <v>1</v>
      </c>
      <c r="D11" s="18">
        <v>0</v>
      </c>
      <c r="E11" s="18">
        <v>5</v>
      </c>
      <c r="F11" s="18">
        <v>3</v>
      </c>
      <c r="G11" s="18">
        <v>5</v>
      </c>
      <c r="H11" s="19">
        <v>18</v>
      </c>
      <c r="I11" s="20"/>
      <c r="J11" s="20"/>
      <c r="K11" s="20"/>
      <c r="L11" s="20"/>
      <c r="M11" s="20"/>
      <c r="N11" s="19">
        <v>0</v>
      </c>
      <c r="O11" s="21"/>
      <c r="P11" s="21"/>
      <c r="Q11" s="21"/>
      <c r="R11" s="21"/>
      <c r="S11" s="21"/>
    </row>
    <row r="12" spans="1:19" ht="15" customHeight="1" x14ac:dyDescent="0.35">
      <c r="A12" s="17" t="s">
        <v>19</v>
      </c>
      <c r="B12" s="18">
        <v>4</v>
      </c>
      <c r="C12" s="18">
        <v>3</v>
      </c>
      <c r="D12" s="18">
        <v>3</v>
      </c>
      <c r="E12" s="18">
        <v>4</v>
      </c>
      <c r="F12" s="18">
        <v>2</v>
      </c>
      <c r="G12" s="18">
        <v>7</v>
      </c>
      <c r="H12" s="19">
        <v>5</v>
      </c>
      <c r="I12" s="20"/>
      <c r="J12" s="20"/>
      <c r="K12" s="20"/>
      <c r="L12" s="20"/>
      <c r="M12" s="20"/>
      <c r="N12" s="19">
        <v>0</v>
      </c>
      <c r="O12" s="21"/>
      <c r="P12" s="21"/>
      <c r="Q12" s="21"/>
      <c r="R12" s="21"/>
      <c r="S12" s="21"/>
    </row>
    <row r="13" spans="1:19" ht="15" customHeight="1" x14ac:dyDescent="0.35">
      <c r="A13" s="17" t="s">
        <v>20</v>
      </c>
      <c r="B13" s="18">
        <v>8</v>
      </c>
      <c r="C13" s="18">
        <v>9</v>
      </c>
      <c r="D13" s="18">
        <v>9</v>
      </c>
      <c r="E13" s="18">
        <v>8</v>
      </c>
      <c r="F13" s="18">
        <v>8</v>
      </c>
      <c r="G13" s="18">
        <v>10</v>
      </c>
      <c r="H13" s="19">
        <v>15</v>
      </c>
      <c r="I13" s="20"/>
      <c r="J13" s="20"/>
      <c r="K13" s="20"/>
      <c r="L13" s="20"/>
      <c r="M13" s="20"/>
      <c r="N13" s="19">
        <v>0</v>
      </c>
      <c r="O13" s="21"/>
      <c r="P13" s="21"/>
      <c r="Q13" s="21"/>
      <c r="R13" s="21"/>
      <c r="S13" s="21"/>
    </row>
    <row r="14" spans="1:19" ht="15" customHeight="1" x14ac:dyDescent="0.35">
      <c r="A14" s="17" t="s">
        <v>21</v>
      </c>
      <c r="B14" s="18">
        <v>11</v>
      </c>
      <c r="C14" s="18">
        <v>12</v>
      </c>
      <c r="D14" s="18">
        <v>4</v>
      </c>
      <c r="E14" s="18">
        <v>5</v>
      </c>
      <c r="F14" s="18">
        <v>7</v>
      </c>
      <c r="G14" s="18">
        <v>8</v>
      </c>
      <c r="H14" s="19">
        <v>7</v>
      </c>
      <c r="I14" s="20"/>
      <c r="J14" s="20"/>
      <c r="K14" s="20"/>
      <c r="L14" s="20"/>
      <c r="M14" s="20"/>
      <c r="N14" s="19">
        <v>1</v>
      </c>
      <c r="O14" s="21"/>
      <c r="P14" s="21"/>
      <c r="Q14" s="21"/>
      <c r="R14" s="21"/>
      <c r="S14" s="21"/>
    </row>
    <row r="15" spans="1:19" ht="15" customHeight="1" x14ac:dyDescent="0.35">
      <c r="A15" s="17" t="s">
        <v>22</v>
      </c>
      <c r="B15" s="18">
        <v>14</v>
      </c>
      <c r="C15" s="18">
        <v>16</v>
      </c>
      <c r="D15" s="18">
        <v>5</v>
      </c>
      <c r="E15" s="18">
        <v>6</v>
      </c>
      <c r="F15" s="18">
        <v>9</v>
      </c>
      <c r="G15" s="18">
        <v>10</v>
      </c>
      <c r="H15" s="19">
        <v>7</v>
      </c>
      <c r="I15" s="20"/>
      <c r="J15" s="20"/>
      <c r="K15" s="20"/>
      <c r="L15" s="20"/>
      <c r="M15" s="20"/>
      <c r="N15" s="19">
        <v>0</v>
      </c>
      <c r="O15" s="21"/>
      <c r="P15" s="21"/>
      <c r="Q15" s="21"/>
      <c r="R15" s="21"/>
      <c r="S15" s="21"/>
    </row>
    <row r="16" spans="1:19" ht="13" customHeight="1" x14ac:dyDescent="0.35">
      <c r="A16" s="17" t="s">
        <v>23</v>
      </c>
      <c r="B16" s="18">
        <v>10</v>
      </c>
      <c r="C16" s="18">
        <v>13</v>
      </c>
      <c r="D16" s="18">
        <v>15</v>
      </c>
      <c r="E16" s="18">
        <v>11</v>
      </c>
      <c r="F16" s="18">
        <v>16</v>
      </c>
      <c r="G16" s="18">
        <v>14</v>
      </c>
      <c r="H16" s="19">
        <v>4</v>
      </c>
      <c r="I16" s="20"/>
      <c r="J16" s="20"/>
      <c r="K16" s="20"/>
      <c r="L16" s="20"/>
      <c r="M16" s="20"/>
      <c r="N16" s="19">
        <v>0</v>
      </c>
      <c r="O16" s="21"/>
      <c r="P16" s="21"/>
      <c r="Q16" s="21"/>
      <c r="R16" s="21"/>
      <c r="S16" s="21"/>
    </row>
    <row r="17" spans="1:19" ht="14" customHeight="1" x14ac:dyDescent="0.35">
      <c r="A17" s="22" t="s">
        <v>24</v>
      </c>
      <c r="B17" s="23">
        <v>220</v>
      </c>
      <c r="C17" s="22"/>
      <c r="D17" s="22"/>
      <c r="E17" s="22"/>
      <c r="F17" s="22"/>
      <c r="G17" s="22"/>
      <c r="H17" s="24"/>
      <c r="I17" s="22"/>
      <c r="J17" s="22"/>
      <c r="K17" s="22"/>
      <c r="L17" s="22"/>
      <c r="M17" s="22"/>
      <c r="N17" s="24"/>
      <c r="O17" s="22"/>
      <c r="P17" s="22"/>
      <c r="Q17" s="22"/>
      <c r="R17" s="22"/>
      <c r="S17" s="22"/>
    </row>
    <row r="18" spans="1:19" ht="14" customHeight="1" x14ac:dyDescent="0.35">
      <c r="A18" s="22" t="s">
        <v>25</v>
      </c>
      <c r="B18" s="23">
        <f>MAX(B4:B16)</f>
        <v>56</v>
      </c>
      <c r="C18" s="22"/>
      <c r="D18" s="22"/>
      <c r="E18" s="22"/>
      <c r="F18" s="22"/>
      <c r="G18" s="22"/>
      <c r="H18" s="23">
        <f>MAX(H4:H16)</f>
        <v>18</v>
      </c>
      <c r="I18" s="22"/>
      <c r="J18" s="22"/>
      <c r="K18" s="22"/>
      <c r="L18" s="22"/>
      <c r="M18" s="22"/>
      <c r="N18" s="23">
        <f>MAX(N4:N16)</f>
        <v>2</v>
      </c>
      <c r="O18" s="22"/>
      <c r="P18" s="22"/>
      <c r="Q18" s="22"/>
      <c r="R18" s="22"/>
      <c r="S18" s="22"/>
    </row>
    <row r="19" spans="1:19" ht="14" customHeight="1" x14ac:dyDescent="0.35">
      <c r="A19" s="22" t="s">
        <v>26</v>
      </c>
      <c r="B19" s="23">
        <v>272</v>
      </c>
      <c r="C19" s="22"/>
      <c r="D19" s="22"/>
      <c r="E19" s="22"/>
      <c r="F19" s="22"/>
      <c r="G19" s="22"/>
      <c r="H19" s="24">
        <v>1</v>
      </c>
      <c r="I19" s="22"/>
      <c r="J19" s="22"/>
      <c r="K19" s="22"/>
      <c r="L19" s="22"/>
      <c r="M19" s="22"/>
      <c r="N19" s="24">
        <v>1</v>
      </c>
      <c r="O19" s="22"/>
      <c r="P19" s="22"/>
      <c r="Q19" s="22"/>
      <c r="R19" s="22"/>
      <c r="S19" s="22"/>
    </row>
    <row r="20" spans="1:19" ht="14" customHeight="1" x14ac:dyDescent="0.35">
      <c r="A20" s="22" t="s">
        <v>27</v>
      </c>
      <c r="B20" s="23">
        <f>B19/13</f>
        <v>20.923076923076923</v>
      </c>
      <c r="C20" s="22"/>
      <c r="D20" s="22"/>
      <c r="E20" s="22"/>
      <c r="F20" s="22"/>
      <c r="G20" s="22"/>
      <c r="H20" s="24">
        <v>18</v>
      </c>
      <c r="I20" s="22"/>
      <c r="J20" s="22"/>
      <c r="K20" s="22"/>
      <c r="L20" s="22"/>
      <c r="M20" s="22"/>
      <c r="N20" s="24">
        <f>N19/13</f>
        <v>7.6923076923076927E-2</v>
      </c>
      <c r="O20" s="22"/>
      <c r="P20" s="22"/>
      <c r="Q20" s="22"/>
      <c r="R20" s="22"/>
      <c r="S20" s="22"/>
    </row>
  </sheetData>
  <mergeCells count="3">
    <mergeCell ref="B2:G2"/>
    <mergeCell ref="H2:M2"/>
    <mergeCell ref="N2:S2"/>
  </mergeCells>
  <conditionalFormatting sqref="B4:B16">
    <cfRule type="colorScale" priority="17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C4:C16">
    <cfRule type="colorScale" priority="5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D4:D16">
    <cfRule type="colorScale" priority="4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E4:E16">
    <cfRule type="colorScale" priority="3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F4:F16">
    <cfRule type="colorScale" priority="2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G4:G16">
    <cfRule type="colorScale" priority="1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H4:H16">
    <cfRule type="colorScale" priority="16">
      <colorScale>
        <cfvo type="min"/>
        <cfvo type="formula" val="$H$20/2"/>
        <cfvo type="formula" val="$H$20"/>
        <color rgb="FFFF0000"/>
        <color rgb="FFFFFF00"/>
        <color rgb="FF00B050"/>
      </colorScale>
    </cfRule>
  </conditionalFormatting>
  <conditionalFormatting sqref="N4:N16">
    <cfRule type="colorScale" priority="15">
      <colorScale>
        <cfvo type="min"/>
        <cfvo type="formula" val="$N$20/2"/>
        <cfvo type="formula" val="$N$20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Res, Cap &amp; Products – KPI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Lewis, Sabra (IITA)</cp:lastModifiedBy>
  <dcterms:created xsi:type="dcterms:W3CDTF">2026-04-03T09:13:46Z</dcterms:created>
  <dcterms:modified xsi:type="dcterms:W3CDTF">2026-04-08T01:41:31Z</dcterms:modified>
</cp:coreProperties>
</file>