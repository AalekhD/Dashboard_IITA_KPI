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6005DDB-4F3C-438F-A2D8-BC1683C8A95F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5" i="1"/>
  <c r="D3" i="1"/>
</calcChain>
</file>

<file path=xl/sharedStrings.xml><?xml version="1.0" encoding="utf-8"?>
<sst xmlns="http://schemas.openxmlformats.org/spreadsheetml/2006/main" count="53" uniqueCount="53">
  <si>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</si>
  <si>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</si>
  <si>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</si>
  <si>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</si>
  <si>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</si>
  <si>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</si>
  <si>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</si>
  <si>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</si>
  <si>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</si>
  <si>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</si>
  <si>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</si>
  <si>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</si>
  <si>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</si>
  <si>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</si>
  <si>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</si>
  <si>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</si>
  <si>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</si>
  <si>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</si>
  <si>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</si>
  <si>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</si>
  <si>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</si>
  <si>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</si>
  <si>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</si>
  <si>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</si>
  <si>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</si>
  <si>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</si>
  <si>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</si>
  <si>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</si>
  <si>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</si>
  <si>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</si>
  <si>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</si>
  <si>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</si>
  <si>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</si>
  <si>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</si>
  <si>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</si>
  <si>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</si>
  <si>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</si>
  <si>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</si>
  <si>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</si>
  <si>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</si>
  <si>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</si>
  <si>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</si>
  <si>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</si>
  <si>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</si>
  <si>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</si>
  <si>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</si>
  <si>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</si>
  <si>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</si>
  <si>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</si>
  <si>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</si>
  <si>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</si>
  <si>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</si>
  <si>
    <t xml:space="preserve"> KPI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</si>
</sst>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_(* #,##0_);_(* \(#,##0\);_(* &quot;-&quot;??_);_(@_)"/>
    <numFmt numFmtId="168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165" fontId="3" fillId="0" borderId="0" xfId="1" applyNumberFormat="1" applyFont="1" applyBorder="1" applyAlignment="1">
      <alignment horizontal="right" vertical="top"/>
    </xf>
    <xf numFmtId="0" fontId="5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left" vertical="top" wrapText="1"/>
    </xf>
    <xf numFmtId="167" fontId="5" fillId="3" borderId="11" xfId="1" applyNumberFormat="1" applyFont="1" applyFill="1" applyBorder="1" applyAlignment="1">
      <alignment horizontal="right" vertical="top" wrapText="1"/>
    </xf>
    <xf numFmtId="166" fontId="6" fillId="3" borderId="11" xfId="1" applyNumberFormat="1" applyFont="1" applyFill="1" applyBorder="1" applyAlignment="1">
      <alignment horizontal="right" vertical="top"/>
    </xf>
    <xf numFmtId="0" fontId="8" fillId="3" borderId="11" xfId="0" applyFont="1" applyFill="1" applyBorder="1" applyAlignment="1">
      <alignment vertical="top"/>
    </xf>
    <xf numFmtId="0" fontId="7" fillId="3" borderId="11" xfId="0" applyFont="1" applyFill="1" applyBorder="1" applyAlignment="1">
      <alignment horizontal="center" vertical="top"/>
    </xf>
    <xf numFmtId="0" fontId="8" fillId="3" borderId="12" xfId="0" applyFont="1" applyFill="1" applyBorder="1" applyAlignment="1">
      <alignment vertical="top"/>
    </xf>
    <xf numFmtId="165" fontId="3" fillId="4" borderId="8" xfId="1" applyNumberFormat="1" applyFont="1" applyFill="1" applyBorder="1" applyAlignment="1">
      <alignment horizontal="right" vertical="top"/>
    </xf>
    <xf numFmtId="9" fontId="3" fillId="0" borderId="1" xfId="2" applyFont="1" applyBorder="1" applyAlignment="1">
      <alignment horizontal="right" vertical="top"/>
    </xf>
    <xf numFmtId="9" fontId="3" fillId="0" borderId="8" xfId="2" applyFont="1" applyBorder="1" applyAlignment="1">
      <alignment horizontal="right" vertical="top"/>
    </xf>
    <xf numFmtId="168" fontId="3" fillId="0" borderId="1" xfId="2" applyNumberFormat="1" applyFont="1" applyBorder="1" applyAlignment="1">
      <alignment horizontal="right" vertical="top"/>
    </xf>
    <xf numFmtId="9" fontId="6" fillId="0" borderId="3" xfId="2" applyFont="1" applyBorder="1" applyAlignment="1">
      <alignment horizontal="right" vertical="top"/>
    </xf>
    <xf numFmtId="9" fontId="6" fillId="0" borderId="1" xfId="2" applyFont="1" applyBorder="1" applyAlignment="1">
      <alignment horizontal="right" vertical="top"/>
    </xf>
    <xf numFmtId="9" fontId="6" fillId="0" borderId="8" xfId="2" applyFont="1" applyBorder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79B9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selection activeCell="B1" sqref="B1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8.77734375" style="30" customWidth="1"/>
    <col min="5" max="5" width="6.21875" style="12" customWidth="1"/>
    <col min="6" max="9" width="6.21875" customWidth="1"/>
  </cols>
  <sheetData>
    <row r="1" spans="1:9" s="29" customFormat="1" ht="12.6" thickBot="1" x14ac:dyDescent="0.3">
      <c r="A1" s="28"/>
      <c r="B1" s="23" t="s">
        <v>52</v>
      </c>
      <c r="C1" s="23" t="s">
        <v>46</v>
      </c>
      <c r="D1" s="24">
        <v>2025</v>
      </c>
      <c r="E1" s="24">
        <v>2026</v>
      </c>
      <c r="F1" s="24">
        <v>2027</v>
      </c>
      <c r="G1" s="24">
        <v>2028</v>
      </c>
      <c r="H1" s="24">
        <v>2029</v>
      </c>
      <c r="I1" s="24">
        <v>2030</v>
      </c>
    </row>
    <row r="2" spans="1:9" s="1" customFormat="1" ht="12.6" thickBot="1" x14ac:dyDescent="0.3">
      <c r="A2" s="31" t="s">
        <v>48</v>
      </c>
      <c r="B2" s="32"/>
      <c r="C2" s="33"/>
      <c r="D2" s="34">
        <v>86973321.091999993</v>
      </c>
      <c r="E2" s="35"/>
      <c r="F2" s="35"/>
      <c r="G2" s="36"/>
      <c r="H2" s="37"/>
      <c r="I2" s="38"/>
    </row>
    <row r="3" spans="1:9" s="2" customFormat="1" ht="12" x14ac:dyDescent="0.25">
      <c r="A3" s="50" t="s">
        <v>0</v>
      </c>
      <c r="B3" s="13" t="s">
        <v>12</v>
      </c>
      <c r="C3" s="13" t="s">
        <v>1</v>
      </c>
      <c r="D3" s="14">
        <f>217/D2*1000000</f>
        <v>2.4950179810939765</v>
      </c>
      <c r="E3" s="15"/>
      <c r="F3" s="15"/>
      <c r="G3" s="16"/>
      <c r="H3" s="16"/>
      <c r="I3" s="17"/>
    </row>
    <row r="4" spans="1:9" s="2" customFormat="1" ht="24" x14ac:dyDescent="0.25">
      <c r="A4" s="51"/>
      <c r="B4" s="3" t="s">
        <v>14</v>
      </c>
      <c r="C4" s="3" t="s">
        <v>11</v>
      </c>
      <c r="D4" s="10" t="s">
        <v>47</v>
      </c>
      <c r="E4" s="11"/>
      <c r="F4" s="11"/>
      <c r="G4" s="9"/>
      <c r="H4" s="9"/>
      <c r="I4" s="18"/>
    </row>
    <row r="5" spans="1:9" s="2" customFormat="1" ht="12.6" thickBot="1" x14ac:dyDescent="0.3">
      <c r="A5" s="52"/>
      <c r="B5" s="19" t="s">
        <v>13</v>
      </c>
      <c r="C5" s="19" t="s">
        <v>16</v>
      </c>
      <c r="D5" s="39">
        <f>6/D2*1000000</f>
        <v>6.898667228831272E-2</v>
      </c>
      <c r="E5" s="20"/>
      <c r="F5" s="20"/>
      <c r="G5" s="21"/>
      <c r="H5" s="21"/>
      <c r="I5" s="22"/>
    </row>
    <row r="6" spans="1:9" s="2" customFormat="1" ht="12" x14ac:dyDescent="0.25">
      <c r="A6" s="53" t="s">
        <v>2</v>
      </c>
      <c r="B6" s="46" t="s">
        <v>15</v>
      </c>
      <c r="C6" s="13" t="s">
        <v>42</v>
      </c>
      <c r="D6" s="14">
        <v>1.2992489947632229</v>
      </c>
      <c r="E6" s="15"/>
      <c r="F6" s="15"/>
      <c r="G6" s="16"/>
      <c r="H6" s="16"/>
      <c r="I6" s="17"/>
    </row>
    <row r="7" spans="1:9" s="2" customFormat="1" ht="12" x14ac:dyDescent="0.25">
      <c r="A7" s="54"/>
      <c r="B7" s="47"/>
      <c r="C7" s="7" t="s">
        <v>43</v>
      </c>
      <c r="D7" s="40">
        <v>0.59</v>
      </c>
      <c r="E7" s="11"/>
      <c r="F7" s="11"/>
      <c r="G7" s="9"/>
      <c r="H7" s="9"/>
      <c r="I7" s="18"/>
    </row>
    <row r="8" spans="1:9" s="2" customFormat="1" ht="12" x14ac:dyDescent="0.25">
      <c r="A8" s="54"/>
      <c r="B8" s="48" t="s">
        <v>17</v>
      </c>
      <c r="C8" s="4" t="s">
        <v>44</v>
      </c>
      <c r="D8" s="10">
        <v>1.1842712076160351</v>
      </c>
      <c r="E8" s="11"/>
      <c r="F8" s="11"/>
      <c r="G8" s="9"/>
      <c r="H8" s="9"/>
      <c r="I8" s="18"/>
    </row>
    <row r="9" spans="1:9" s="2" customFormat="1" ht="12" x14ac:dyDescent="0.25">
      <c r="A9" s="54"/>
      <c r="B9" s="48"/>
      <c r="C9" s="8" t="s">
        <v>41</v>
      </c>
      <c r="D9" s="40">
        <v>0.49</v>
      </c>
      <c r="E9" s="11"/>
      <c r="F9" s="11"/>
      <c r="G9" s="9"/>
      <c r="H9" s="9"/>
      <c r="I9" s="18"/>
    </row>
    <row r="10" spans="1:9" s="2" customFormat="1" ht="12" x14ac:dyDescent="0.25">
      <c r="A10" s="54"/>
      <c r="B10" s="48" t="s">
        <v>18</v>
      </c>
      <c r="C10" s="4" t="s">
        <v>20</v>
      </c>
      <c r="D10" s="10">
        <v>145.00998515003334</v>
      </c>
      <c r="E10" s="11"/>
      <c r="F10" s="11"/>
      <c r="G10" s="9"/>
      <c r="H10" s="9"/>
      <c r="I10" s="18"/>
    </row>
    <row r="11" spans="1:9" s="2" customFormat="1" ht="12" x14ac:dyDescent="0.25">
      <c r="A11" s="54"/>
      <c r="B11" s="48"/>
      <c r="C11" s="8" t="s">
        <v>49</v>
      </c>
      <c r="D11" s="40">
        <v>0.44</v>
      </c>
      <c r="E11" s="11"/>
      <c r="F11" s="11"/>
      <c r="G11" s="9"/>
      <c r="H11" s="9"/>
      <c r="I11" s="18"/>
    </row>
    <row r="12" spans="1:9" s="2" customFormat="1" ht="12" x14ac:dyDescent="0.25">
      <c r="A12" s="54"/>
      <c r="B12" s="48" t="s">
        <v>19</v>
      </c>
      <c r="C12" s="4" t="s">
        <v>45</v>
      </c>
      <c r="D12" s="10">
        <v>16.602792464053927</v>
      </c>
      <c r="E12" s="11"/>
      <c r="F12" s="11"/>
      <c r="G12" s="9"/>
      <c r="H12" s="9"/>
      <c r="I12" s="18"/>
    </row>
    <row r="13" spans="1:9" s="2" customFormat="1" ht="12.6" thickBot="1" x14ac:dyDescent="0.3">
      <c r="A13" s="55"/>
      <c r="B13" s="49"/>
      <c r="C13" s="26" t="s">
        <v>50</v>
      </c>
      <c r="D13" s="41">
        <v>0.34</v>
      </c>
      <c r="E13" s="20"/>
      <c r="F13" s="20"/>
      <c r="G13" s="21"/>
      <c r="H13" s="21"/>
      <c r="I13" s="22"/>
    </row>
    <row r="14" spans="1:9" s="2" customFormat="1" ht="12" x14ac:dyDescent="0.25">
      <c r="A14" s="50" t="s">
        <v>3</v>
      </c>
      <c r="B14" s="13" t="s">
        <v>26</v>
      </c>
      <c r="C14" s="13" t="s">
        <v>21</v>
      </c>
      <c r="D14" s="14">
        <f>46/D2*1000000</f>
        <v>0.52889782087706416</v>
      </c>
      <c r="E14" s="15"/>
      <c r="F14" s="15"/>
      <c r="G14" s="16"/>
      <c r="H14" s="16"/>
      <c r="I14" s="17"/>
    </row>
    <row r="15" spans="1:9" s="2" customFormat="1" ht="12" x14ac:dyDescent="0.25">
      <c r="A15" s="51"/>
      <c r="B15" s="3" t="s">
        <v>29</v>
      </c>
      <c r="C15" s="4" t="s">
        <v>51</v>
      </c>
      <c r="D15" s="42">
        <v>1.2E-2</v>
      </c>
      <c r="E15" s="11"/>
      <c r="F15" s="11"/>
      <c r="G15" s="9"/>
      <c r="H15" s="9"/>
      <c r="I15" s="18"/>
    </row>
    <row r="16" spans="1:9" s="2" customFormat="1" ht="12" x14ac:dyDescent="0.25">
      <c r="A16" s="51"/>
      <c r="B16" s="3" t="s">
        <v>30</v>
      </c>
      <c r="C16" s="4" t="s">
        <v>22</v>
      </c>
      <c r="D16" s="40">
        <v>1</v>
      </c>
      <c r="E16" s="11"/>
      <c r="F16" s="11"/>
      <c r="G16" s="9"/>
      <c r="H16" s="9"/>
      <c r="I16" s="18"/>
    </row>
    <row r="17" spans="1:9" s="2" customFormat="1" ht="12" x14ac:dyDescent="0.25">
      <c r="A17" s="51"/>
      <c r="B17" s="3" t="s">
        <v>31</v>
      </c>
      <c r="C17" s="3" t="s">
        <v>4</v>
      </c>
      <c r="D17" s="10">
        <v>0.58638671445065815</v>
      </c>
      <c r="E17" s="11"/>
      <c r="F17" s="11"/>
      <c r="G17" s="9"/>
      <c r="H17" s="9"/>
      <c r="I17" s="18"/>
    </row>
    <row r="18" spans="1:9" s="2" customFormat="1" ht="12.6" thickBot="1" x14ac:dyDescent="0.3">
      <c r="A18" s="52"/>
      <c r="B18" s="19" t="s">
        <v>32</v>
      </c>
      <c r="C18" s="19" t="s">
        <v>23</v>
      </c>
      <c r="D18" s="27">
        <v>0.26444891043853208</v>
      </c>
      <c r="E18" s="20"/>
      <c r="F18" s="20"/>
      <c r="G18" s="21"/>
      <c r="H18" s="21"/>
      <c r="I18" s="22"/>
    </row>
    <row r="19" spans="1:9" s="2" customFormat="1" ht="12" x14ac:dyDescent="0.25">
      <c r="A19" s="50" t="s">
        <v>5</v>
      </c>
      <c r="B19" s="13" t="s">
        <v>33</v>
      </c>
      <c r="C19" s="13" t="s">
        <v>24</v>
      </c>
      <c r="D19" s="14">
        <v>1.6096890200606302</v>
      </c>
      <c r="E19" s="15"/>
      <c r="F19" s="15"/>
      <c r="G19" s="16"/>
      <c r="H19" s="16"/>
      <c r="I19" s="17"/>
    </row>
    <row r="20" spans="1:9" s="2" customFormat="1" ht="12" x14ac:dyDescent="0.25">
      <c r="A20" s="51"/>
      <c r="B20" s="3" t="s">
        <v>34</v>
      </c>
      <c r="C20" s="3" t="s">
        <v>6</v>
      </c>
      <c r="D20" s="10">
        <v>0.43691559115931389</v>
      </c>
      <c r="E20" s="11"/>
      <c r="F20" s="11"/>
      <c r="G20" s="9"/>
      <c r="H20" s="9"/>
      <c r="I20" s="18"/>
    </row>
    <row r="21" spans="1:9" s="2" customFormat="1" ht="12" x14ac:dyDescent="0.25">
      <c r="A21" s="51"/>
      <c r="B21" s="3" t="s">
        <v>35</v>
      </c>
      <c r="C21" s="3" t="s">
        <v>25</v>
      </c>
      <c r="D21" s="10">
        <v>9.1982229717750288E-2</v>
      </c>
      <c r="E21" s="11"/>
      <c r="F21" s="11"/>
      <c r="G21" s="9"/>
      <c r="H21" s="9"/>
      <c r="I21" s="18"/>
    </row>
    <row r="22" spans="1:9" s="2" customFormat="1" ht="12" x14ac:dyDescent="0.25">
      <c r="A22" s="51"/>
      <c r="B22" s="3" t="s">
        <v>36</v>
      </c>
      <c r="C22" s="3" t="s">
        <v>27</v>
      </c>
      <c r="D22" s="10">
        <v>0.21</v>
      </c>
      <c r="E22" s="11"/>
      <c r="F22" s="11"/>
      <c r="G22" s="9"/>
      <c r="H22" s="9"/>
      <c r="I22" s="18"/>
    </row>
    <row r="23" spans="1:9" s="2" customFormat="1" ht="12.6" thickBot="1" x14ac:dyDescent="0.3">
      <c r="A23" s="52"/>
      <c r="B23" s="19" t="s">
        <v>37</v>
      </c>
      <c r="C23" s="25" t="s">
        <v>28</v>
      </c>
      <c r="D23" s="27">
        <v>0.34493336144156361</v>
      </c>
      <c r="E23" s="20"/>
      <c r="F23" s="20"/>
      <c r="G23" s="21"/>
      <c r="H23" s="21"/>
      <c r="I23" s="22"/>
    </row>
    <row r="24" spans="1:9" s="2" customFormat="1" ht="12" x14ac:dyDescent="0.25">
      <c r="A24" s="50" t="s">
        <v>7</v>
      </c>
      <c r="B24" s="13" t="s">
        <v>38</v>
      </c>
      <c r="C24" s="13" t="s">
        <v>8</v>
      </c>
      <c r="D24" s="43">
        <v>0.42</v>
      </c>
      <c r="E24" s="15"/>
      <c r="F24" s="16"/>
      <c r="G24" s="16"/>
      <c r="H24" s="16"/>
      <c r="I24" s="17"/>
    </row>
    <row r="25" spans="1:9" s="2" customFormat="1" ht="12" x14ac:dyDescent="0.25">
      <c r="A25" s="51"/>
      <c r="B25" s="3" t="s">
        <v>39</v>
      </c>
      <c r="C25" s="3" t="s">
        <v>9</v>
      </c>
      <c r="D25" s="44">
        <v>0.36</v>
      </c>
      <c r="E25" s="11"/>
      <c r="F25" s="9"/>
      <c r="G25" s="9"/>
      <c r="H25" s="9"/>
      <c r="I25" s="18"/>
    </row>
    <row r="26" spans="1:9" s="2" customFormat="1" ht="12.6" thickBot="1" x14ac:dyDescent="0.3">
      <c r="A26" s="52"/>
      <c r="B26" s="19" t="s">
        <v>40</v>
      </c>
      <c r="C26" s="19" t="s">
        <v>10</v>
      </c>
      <c r="D26" s="45">
        <v>0.11</v>
      </c>
      <c r="E26" s="20"/>
      <c r="F26" s="21"/>
      <c r="G26" s="21"/>
      <c r="H26" s="21"/>
      <c r="I26" s="22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D3">
    <cfRule type="colorScale" priority="2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5">
    <cfRule type="colorScale" priority="1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6">
    <cfRule type="colorScale" priority="27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7">
    <cfRule type="colorScale" priority="10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8">
    <cfRule type="colorScale" priority="26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9">
    <cfRule type="colorScale" priority="9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0">
    <cfRule type="colorScale" priority="25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1">
    <cfRule type="colorScale" priority="8">
      <colorScale>
        <cfvo type="formula" val="#REF!/2"/>
        <cfvo type="formula" val="#REF!"/>
        <color rgb="FF92D050"/>
        <color rgb="FF00B050"/>
      </colorScale>
    </cfRule>
  </conditionalFormatting>
  <conditionalFormatting sqref="D12">
    <cfRule type="colorScale" priority="24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3">
    <cfRule type="colorScale" priority="7">
      <colorScale>
        <cfvo type="formula" val="#REF!/2"/>
        <cfvo type="formula" val="#REF!"/>
        <color rgb="FFFFFF00"/>
        <color rgb="FF79B907"/>
      </colorScale>
    </cfRule>
  </conditionalFormatting>
  <conditionalFormatting sqref="D14">
    <cfRule type="colorScale" priority="6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5">
    <cfRule type="colorScale" priority="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6">
    <cfRule type="colorScale" priority="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7">
    <cfRule type="colorScale" priority="23">
      <colorScale>
        <cfvo type="num" val="0"/>
        <cfvo type="formula" val="#REF!/2"/>
        <cfvo type="num" val="#REF!"/>
        <color rgb="FFFF0000"/>
        <color rgb="FFFFFF00"/>
        <color rgb="FF00B050"/>
      </colorScale>
    </cfRule>
  </conditionalFormatting>
  <conditionalFormatting sqref="D18">
    <cfRule type="colorScale" priority="13">
      <colorScale>
        <cfvo type="formula" val="#REF!/2"/>
        <cfvo type="formula" val="#REF!"/>
        <color rgb="FFFFFF00"/>
        <color rgb="FF00B050"/>
      </colorScale>
    </cfRule>
  </conditionalFormatting>
  <conditionalFormatting sqref="D19">
    <cfRule type="colorScale" priority="16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0">
    <cfRule type="colorScale" priority="1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1">
    <cfRule type="colorScale" priority="12">
      <colorScale>
        <cfvo type="formula" val="#REF!/2"/>
        <cfvo type="formula" val="#REF!"/>
        <color rgb="FFFFFF00"/>
        <color rgb="FFFF0000"/>
      </colorScale>
    </cfRule>
  </conditionalFormatting>
  <conditionalFormatting sqref="D22">
    <cfRule type="colorScale" priority="1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3">
    <cfRule type="colorScale" priority="1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4">
    <cfRule type="colorScale" priority="3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5">
    <cfRule type="colorScale" priority="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2026-05-01T14:32:46Z</dcterms:modified>
</cp:coreProperties>
</file>