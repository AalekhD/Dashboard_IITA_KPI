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99DBA049-1B96-46C5-A68D-9689E81FF2BD}" xr6:coauthVersionLast="47" xr6:coauthVersionMax="47" xr10:uidLastSave="{00000000-0000-0000-0000-000000000000}"/>
  <bookViews>
    <workbookView xWindow="28680" yWindow="-120" windowWidth="29040" windowHeight="15720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5" i="1"/>
  <c r="E3" i="1"/>
</calcChain>
</file>

<file path=xl/sharedStrings.xml><?xml version="1.0" encoding="utf-8"?>
<sst xmlns="http://schemas.openxmlformats.org/spreadsheetml/2006/main" count="54" uniqueCount="54">
  <si>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</si>
  <si>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</si>
  <si>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</si>
  <si>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</si>
  <si>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</si>
  <si>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</si>
  <si>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</si>
  <si>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</si>
  <si>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</si>
  <si>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</si>
  <si>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</si>
  <si>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</si>
  <si>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</si>
  <si>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</si>
  <si>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</si>
  <si>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</si>
  <si>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</si>
  <si>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</si>
  <si>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</si>
  <si>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</si>
  <si>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</si>
  <si>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</si>
  <si>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</si>
  <si>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</si>
  <si>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</si>
  <si>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</si>
  <si>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</si>
  <si>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</si>
  <si>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</si>
  <si>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</si>
  <si>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</si>
  <si>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</si>
  <si>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</si>
  <si>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</si>
  <si>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</si>
  <si>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</si>
  <si>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</si>
  <si>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</si>
  <si>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</si>
  <si>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</si>
  <si>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</si>
  <si>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</si>
  <si>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</si>
  <si>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</si>
  <si>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</si>
  <si>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</si>
  <si>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</si>
  <si>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</si>
  <si>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</si>
  <si>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</si>
  <si>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Notional Target</t>
  </si>
  <si>
    <t>Percentage of delivery partners trained who are female</t>
  </si>
  <si>
    <t>Percentage of national scientists who attended training courses who are female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</si>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</sst>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.0_);_(* \(#,##0.0\);_(* &quot;-&quot;??_);_(@_)"/>
    <numFmt numFmtId="166" formatCode="0.0"/>
    <numFmt numFmtId="167" formatCode="_(* #,##0_);_(* \(#,##0\);_(* &quot;-&quot;??_);_(@_)"/>
    <numFmt numFmtId="168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3" borderId="10" xfId="0" applyFont="1" applyFill="1" applyBorder="1" applyAlignment="1">
      <alignment horizontal="left" vertical="top" wrapText="1"/>
    </xf>
    <xf numFmtId="0" fontId="2" fillId="3" borderId="11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left" vertical="top" wrapText="1"/>
    </xf>
    <xf numFmtId="167" fontId="5" fillId="3" borderId="11" xfId="1" applyNumberFormat="1" applyFont="1" applyFill="1" applyBorder="1" applyAlignment="1">
      <alignment horizontal="right" vertical="top" wrapText="1"/>
    </xf>
    <xf numFmtId="166" fontId="6" fillId="3" borderId="11" xfId="1" applyNumberFormat="1" applyFont="1" applyFill="1" applyBorder="1" applyAlignment="1">
      <alignment horizontal="right" vertical="top"/>
    </xf>
    <xf numFmtId="0" fontId="8" fillId="3" borderId="11" xfId="0" applyFont="1" applyFill="1" applyBorder="1" applyAlignment="1">
      <alignment vertical="top"/>
    </xf>
    <xf numFmtId="0" fontId="7" fillId="3" borderId="11" xfId="0" applyFont="1" applyFill="1" applyBorder="1" applyAlignment="1">
      <alignment horizontal="center" vertical="top"/>
    </xf>
    <xf numFmtId="0" fontId="8" fillId="3" borderId="12" xfId="0" applyFont="1" applyFill="1" applyBorder="1" applyAlignment="1">
      <alignment vertical="top"/>
    </xf>
    <xf numFmtId="165" fontId="3" fillId="5" borderId="8" xfId="1" applyNumberFormat="1" applyFont="1" applyFill="1" applyBorder="1" applyAlignment="1">
      <alignment horizontal="right" vertical="top"/>
    </xf>
    <xf numFmtId="9" fontId="5" fillId="4" borderId="1" xfId="0" applyNumberFormat="1" applyFont="1" applyFill="1" applyBorder="1" applyAlignment="1">
      <alignment horizontal="left" vertical="top" wrapText="1"/>
    </xf>
    <xf numFmtId="9" fontId="3" fillId="0" borderId="1" xfId="2" applyFont="1" applyBorder="1" applyAlignment="1">
      <alignment horizontal="right" vertical="top"/>
    </xf>
    <xf numFmtId="9" fontId="3" fillId="4" borderId="1" xfId="2" applyFont="1" applyFill="1" applyBorder="1" applyAlignment="1">
      <alignment horizontal="left" vertical="top" wrapText="1"/>
    </xf>
    <xf numFmtId="9" fontId="3" fillId="0" borderId="8" xfId="2" applyFont="1" applyBorder="1" applyAlignment="1">
      <alignment horizontal="right" vertical="top"/>
    </xf>
    <xf numFmtId="9" fontId="3" fillId="4" borderId="1" xfId="0" applyNumberFormat="1" applyFont="1" applyFill="1" applyBorder="1" applyAlignment="1">
      <alignment horizontal="left" vertical="top" wrapText="1"/>
    </xf>
    <xf numFmtId="9" fontId="3" fillId="4" borderId="8" xfId="0" applyNumberFormat="1" applyFont="1" applyFill="1" applyBorder="1" applyAlignment="1">
      <alignment horizontal="left" vertical="top" wrapText="1"/>
    </xf>
    <xf numFmtId="168" fontId="3" fillId="4" borderId="1" xfId="0" applyNumberFormat="1" applyFont="1" applyFill="1" applyBorder="1" applyAlignment="1">
      <alignment horizontal="left" vertical="top" wrapText="1"/>
    </xf>
    <xf numFmtId="168" fontId="3" fillId="0" borderId="1" xfId="2" applyNumberFormat="1" applyFont="1" applyBorder="1" applyAlignment="1">
      <alignment horizontal="right" vertical="top"/>
    </xf>
    <xf numFmtId="9" fontId="5" fillId="4" borderId="3" xfId="2" applyFont="1" applyFill="1" applyBorder="1" applyAlignment="1">
      <alignment horizontal="left" vertical="top" wrapText="1"/>
    </xf>
    <xf numFmtId="9" fontId="6" fillId="0" borderId="3" xfId="2" applyFont="1" applyBorder="1" applyAlignment="1">
      <alignment horizontal="right" vertical="top"/>
    </xf>
    <xf numFmtId="9" fontId="5" fillId="4" borderId="1" xfId="2" applyFont="1" applyFill="1" applyBorder="1" applyAlignment="1">
      <alignment horizontal="left" vertical="top" wrapText="1"/>
    </xf>
    <xf numFmtId="9" fontId="6" fillId="0" borderId="1" xfId="2" applyFont="1" applyBorder="1" applyAlignment="1">
      <alignment horizontal="right" vertical="top"/>
    </xf>
    <xf numFmtId="9" fontId="5" fillId="4" borderId="8" xfId="2" applyFont="1" applyFill="1" applyBorder="1" applyAlignment="1">
      <alignment horizontal="left" vertical="top" wrapText="1"/>
    </xf>
    <xf numFmtId="9" fontId="6" fillId="0" borderId="8" xfId="2" applyFont="1" applyBorder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79B9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I12" sqref="I12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8.77734375" style="36" customWidth="1"/>
    <col min="6" max="6" width="6.21875" style="12" customWidth="1"/>
    <col min="7" max="10" width="6.21875" customWidth="1"/>
  </cols>
  <sheetData>
    <row r="1" spans="1:10" s="29" customFormat="1" ht="24.6" thickBot="1" x14ac:dyDescent="0.3">
      <c r="A1" s="28"/>
      <c r="B1" s="23" t="s">
        <v>20</v>
      </c>
      <c r="C1" s="23" t="s">
        <v>47</v>
      </c>
      <c r="D1" s="30" t="s">
        <v>50</v>
      </c>
      <c r="E1" s="24">
        <v>2025</v>
      </c>
      <c r="F1" s="24">
        <v>2026</v>
      </c>
      <c r="G1" s="24">
        <v>2027</v>
      </c>
      <c r="H1" s="24">
        <v>2028</v>
      </c>
      <c r="I1" s="24">
        <v>2029</v>
      </c>
      <c r="J1" s="24">
        <v>2030</v>
      </c>
    </row>
    <row r="2" spans="1:10" s="1" customFormat="1" ht="12.6" thickBot="1" x14ac:dyDescent="0.3">
      <c r="A2" s="37" t="s">
        <v>49</v>
      </c>
      <c r="B2" s="38"/>
      <c r="C2" s="39"/>
      <c r="D2" s="39"/>
      <c r="E2" s="40">
        <v>86973321.091999993</v>
      </c>
      <c r="F2" s="41"/>
      <c r="G2" s="41"/>
      <c r="H2" s="42"/>
      <c r="I2" s="43"/>
      <c r="J2" s="44"/>
    </row>
    <row r="3" spans="1:10" s="2" customFormat="1" ht="12" x14ac:dyDescent="0.25">
      <c r="A3" s="64" t="s">
        <v>0</v>
      </c>
      <c r="B3" s="13" t="s">
        <v>12</v>
      </c>
      <c r="C3" s="13" t="s">
        <v>1</v>
      </c>
      <c r="D3" s="31">
        <v>3</v>
      </c>
      <c r="E3" s="14">
        <f>217/E2*1000000</f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65"/>
      <c r="B4" s="3" t="s">
        <v>14</v>
      </c>
      <c r="C4" s="3" t="s">
        <v>11</v>
      </c>
      <c r="D4" s="32"/>
      <c r="E4" s="10" t="s">
        <v>48</v>
      </c>
      <c r="F4" s="11"/>
      <c r="G4" s="11"/>
      <c r="H4" s="9"/>
      <c r="I4" s="9"/>
      <c r="J4" s="18"/>
    </row>
    <row r="5" spans="1:10" s="2" customFormat="1" ht="12.6" thickBot="1" x14ac:dyDescent="0.3">
      <c r="A5" s="66"/>
      <c r="B5" s="19" t="s">
        <v>13</v>
      </c>
      <c r="C5" s="19" t="s">
        <v>16</v>
      </c>
      <c r="D5" s="33">
        <v>0.11</v>
      </c>
      <c r="E5" s="45">
        <f>6/E2*1000000</f>
        <v>6.898667228831272E-2</v>
      </c>
      <c r="F5" s="20"/>
      <c r="G5" s="20"/>
      <c r="H5" s="21"/>
      <c r="I5" s="21"/>
      <c r="J5" s="22"/>
    </row>
    <row r="6" spans="1:10" s="2" customFormat="1" ht="12" x14ac:dyDescent="0.25">
      <c r="A6" s="67" t="s">
        <v>2</v>
      </c>
      <c r="B6" s="60" t="s">
        <v>15</v>
      </c>
      <c r="C6" s="13" t="s">
        <v>43</v>
      </c>
      <c r="D6" s="31">
        <v>2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68"/>
      <c r="B7" s="61"/>
      <c r="C7" s="7" t="s">
        <v>44</v>
      </c>
      <c r="D7" s="46">
        <v>0.59</v>
      </c>
      <c r="E7" s="47">
        <v>0.59</v>
      </c>
      <c r="F7" s="11"/>
      <c r="G7" s="11"/>
      <c r="H7" s="9"/>
      <c r="I7" s="9"/>
      <c r="J7" s="18"/>
    </row>
    <row r="8" spans="1:10" s="2" customFormat="1" ht="12" x14ac:dyDescent="0.25">
      <c r="A8" s="68"/>
      <c r="B8" s="62" t="s">
        <v>17</v>
      </c>
      <c r="C8" s="4" t="s">
        <v>45</v>
      </c>
      <c r="D8" s="34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68"/>
      <c r="B9" s="62"/>
      <c r="C9" s="8" t="s">
        <v>42</v>
      </c>
      <c r="D9" s="48">
        <v>0.49</v>
      </c>
      <c r="E9" s="47">
        <v>0.49</v>
      </c>
      <c r="F9" s="11"/>
      <c r="G9" s="11"/>
      <c r="H9" s="9"/>
      <c r="I9" s="9"/>
      <c r="J9" s="18"/>
    </row>
    <row r="10" spans="1:10" s="2" customFormat="1" ht="12" x14ac:dyDescent="0.25">
      <c r="A10" s="68"/>
      <c r="B10" s="62" t="s">
        <v>18</v>
      </c>
      <c r="C10" s="4" t="s">
        <v>21</v>
      </c>
      <c r="D10" s="34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68"/>
      <c r="B11" s="62"/>
      <c r="C11" s="8" t="s">
        <v>51</v>
      </c>
      <c r="D11" s="50">
        <v>0.8</v>
      </c>
      <c r="E11" s="47">
        <v>0.44</v>
      </c>
      <c r="F11" s="11"/>
      <c r="G11" s="11"/>
      <c r="H11" s="9"/>
      <c r="I11" s="9"/>
      <c r="J11" s="18"/>
    </row>
    <row r="12" spans="1:10" s="2" customFormat="1" ht="12" x14ac:dyDescent="0.25">
      <c r="A12" s="68"/>
      <c r="B12" s="62" t="s">
        <v>19</v>
      </c>
      <c r="C12" s="4" t="s">
        <v>46</v>
      </c>
      <c r="D12" s="34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69"/>
      <c r="B13" s="63"/>
      <c r="C13" s="26" t="s">
        <v>52</v>
      </c>
      <c r="D13" s="51">
        <v>0.5</v>
      </c>
      <c r="E13" s="49">
        <v>0.34</v>
      </c>
      <c r="F13" s="20"/>
      <c r="G13" s="20"/>
      <c r="H13" s="21"/>
      <c r="I13" s="21"/>
      <c r="J13" s="22"/>
    </row>
    <row r="14" spans="1:10" s="2" customFormat="1" ht="12" x14ac:dyDescent="0.25">
      <c r="A14" s="64" t="s">
        <v>3</v>
      </c>
      <c r="B14" s="13" t="s">
        <v>27</v>
      </c>
      <c r="C14" s="13" t="s">
        <v>22</v>
      </c>
      <c r="D14" s="31">
        <v>0.5</v>
      </c>
      <c r="E14" s="14">
        <f>46/E2*1000000</f>
        <v>0.52889782087706416</v>
      </c>
      <c r="F14" s="15"/>
      <c r="G14" s="15"/>
      <c r="H14" s="16"/>
      <c r="I14" s="16"/>
      <c r="J14" s="17"/>
    </row>
    <row r="15" spans="1:10" s="2" customFormat="1" ht="12" x14ac:dyDescent="0.25">
      <c r="A15" s="65"/>
      <c r="B15" s="3" t="s">
        <v>30</v>
      </c>
      <c r="C15" s="4" t="s">
        <v>53</v>
      </c>
      <c r="D15" s="52">
        <v>1.4999999999999999E-2</v>
      </c>
      <c r="E15" s="53">
        <v>1.4999999999999999E-2</v>
      </c>
      <c r="F15" s="11"/>
      <c r="G15" s="11"/>
      <c r="H15" s="9"/>
      <c r="I15" s="9"/>
      <c r="J15" s="18"/>
    </row>
    <row r="16" spans="1:10" s="2" customFormat="1" ht="12" x14ac:dyDescent="0.25">
      <c r="A16" s="65"/>
      <c r="B16" s="3" t="s">
        <v>31</v>
      </c>
      <c r="C16" s="4" t="s">
        <v>23</v>
      </c>
      <c r="D16" s="50">
        <v>1</v>
      </c>
      <c r="E16" s="47">
        <v>1</v>
      </c>
      <c r="F16" s="11"/>
      <c r="G16" s="11"/>
      <c r="H16" s="9"/>
      <c r="I16" s="9"/>
      <c r="J16" s="18"/>
    </row>
    <row r="17" spans="1:10" s="2" customFormat="1" ht="12" x14ac:dyDescent="0.25">
      <c r="A17" s="65"/>
      <c r="B17" s="3" t="s">
        <v>32</v>
      </c>
      <c r="C17" s="3" t="s">
        <v>4</v>
      </c>
      <c r="D17" s="32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66"/>
      <c r="B18" s="19" t="s">
        <v>33</v>
      </c>
      <c r="C18" s="19" t="s">
        <v>24</v>
      </c>
      <c r="D18" s="33">
        <v>0.31</v>
      </c>
      <c r="E18" s="27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64" t="s">
        <v>5</v>
      </c>
      <c r="B19" s="13" t="s">
        <v>34</v>
      </c>
      <c r="C19" s="13" t="s">
        <v>25</v>
      </c>
      <c r="D19" s="31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65"/>
      <c r="B20" s="3" t="s">
        <v>35</v>
      </c>
      <c r="C20" s="3" t="s">
        <v>6</v>
      </c>
      <c r="D20" s="32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65"/>
      <c r="B21" s="3" t="s">
        <v>36</v>
      </c>
      <c r="C21" s="3" t="s">
        <v>26</v>
      </c>
      <c r="D21" s="32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65"/>
      <c r="B22" s="3" t="s">
        <v>37</v>
      </c>
      <c r="C22" s="3" t="s">
        <v>28</v>
      </c>
      <c r="D22" s="32">
        <v>0.41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66"/>
      <c r="B23" s="19" t="s">
        <v>38</v>
      </c>
      <c r="C23" s="25" t="s">
        <v>29</v>
      </c>
      <c r="D23" s="35">
        <v>0.22550000000000001</v>
      </c>
      <c r="E23" s="27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64" t="s">
        <v>7</v>
      </c>
      <c r="B24" s="13" t="s">
        <v>39</v>
      </c>
      <c r="C24" s="13" t="s">
        <v>8</v>
      </c>
      <c r="D24" s="54">
        <v>0.42</v>
      </c>
      <c r="E24" s="55">
        <v>0.42</v>
      </c>
      <c r="F24" s="15"/>
      <c r="G24" s="16"/>
      <c r="H24" s="16"/>
      <c r="I24" s="16"/>
      <c r="J24" s="17"/>
    </row>
    <row r="25" spans="1:10" s="2" customFormat="1" ht="12" x14ac:dyDescent="0.25">
      <c r="A25" s="65"/>
      <c r="B25" s="3" t="s">
        <v>40</v>
      </c>
      <c r="C25" s="3" t="s">
        <v>9</v>
      </c>
      <c r="D25" s="56">
        <v>0.36</v>
      </c>
      <c r="E25" s="57">
        <v>0.36</v>
      </c>
      <c r="F25" s="11"/>
      <c r="G25" s="9"/>
      <c r="H25" s="9"/>
      <c r="I25" s="9"/>
      <c r="J25" s="18"/>
    </row>
    <row r="26" spans="1:10" s="2" customFormat="1" ht="12.6" thickBot="1" x14ac:dyDescent="0.3">
      <c r="A26" s="66"/>
      <c r="B26" s="19" t="s">
        <v>41</v>
      </c>
      <c r="C26" s="19" t="s">
        <v>10</v>
      </c>
      <c r="D26" s="58">
        <v>0.13</v>
      </c>
      <c r="E26" s="59">
        <v>0.11</v>
      </c>
      <c r="F26" s="20"/>
      <c r="G26" s="21"/>
      <c r="H26" s="21"/>
      <c r="I26" s="21"/>
      <c r="J26" s="22"/>
    </row>
  </sheetData>
  <mergeCells count="9">
    <mergeCell ref="A3:A5"/>
    <mergeCell ref="A6:A13"/>
    <mergeCell ref="A14:A18"/>
    <mergeCell ref="A19:A23"/>
    <mergeCell ref="B6:B7"/>
    <mergeCell ref="B8:B9"/>
    <mergeCell ref="B10:B11"/>
    <mergeCell ref="B12:B13"/>
    <mergeCell ref="A24:A26"/>
  </mergeCells>
  <conditionalFormatting sqref="E3">
    <cfRule type="colorScale" priority="28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5">
    <cfRule type="colorScale" priority="11">
      <colorScale>
        <cfvo type="min"/>
        <cfvo type="formula" val="$D$5/2"/>
        <cfvo type="formula" val="$D$5"/>
        <color rgb="FFFF0000"/>
        <color rgb="FFFFFF00"/>
        <color rgb="FF00B050"/>
      </colorScale>
    </cfRule>
  </conditionalFormatting>
  <conditionalFormatting sqref="E6">
    <cfRule type="colorScale" priority="27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7">
    <cfRule type="colorScale" priority="10">
      <colorScale>
        <cfvo type="min"/>
        <cfvo type="formula" val="$D$7/2"/>
        <cfvo type="formula" val="$D$7"/>
        <color rgb="FFFF0000"/>
        <color rgb="FFFFFF00"/>
        <color rgb="FF00B050"/>
      </colorScale>
    </cfRule>
  </conditionalFormatting>
  <conditionalFormatting sqref="E8">
    <cfRule type="colorScale" priority="26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9">
    <cfRule type="colorScale" priority="9">
      <colorScale>
        <cfvo type="min"/>
        <cfvo type="formula" val="$D$9/2"/>
        <cfvo type="formula" val="$D$9"/>
        <color rgb="FFFF0000"/>
        <color rgb="FFFFFF00"/>
        <color rgb="FF00B050"/>
      </colorScale>
    </cfRule>
  </conditionalFormatting>
  <conditionalFormatting sqref="E10">
    <cfRule type="colorScale" priority="25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1">
    <cfRule type="colorScale" priority="8">
      <colorScale>
        <cfvo type="formula" val="$D$11/2"/>
        <cfvo type="formula" val="$D$11"/>
        <color rgb="FF92D050"/>
        <color rgb="FF00B050"/>
      </colorScale>
    </cfRule>
  </conditionalFormatting>
  <conditionalFormatting sqref="E12">
    <cfRule type="colorScale" priority="24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3">
    <cfRule type="colorScale" priority="7">
      <colorScale>
        <cfvo type="formula" val="$D$13/2"/>
        <cfvo type="formula" val="$D$13"/>
        <color rgb="FFFFFF00"/>
        <color rgb="FF79B907"/>
      </colorScale>
    </cfRule>
  </conditionalFormatting>
  <conditionalFormatting sqref="E14">
    <cfRule type="colorScale" priority="6">
      <colorScale>
        <cfvo type="min"/>
        <cfvo type="formula" val="$D$14/2"/>
        <cfvo type="formula" val="$D$14"/>
        <color rgb="FFFF0000"/>
        <color rgb="FFFFFF00"/>
        <color rgb="FF00B050"/>
      </colorScale>
    </cfRule>
  </conditionalFormatting>
  <conditionalFormatting sqref="E15">
    <cfRule type="colorScale" priority="5">
      <colorScale>
        <cfvo type="min"/>
        <cfvo type="formula" val="$D$15/2"/>
        <cfvo type="formula" val="$D$15"/>
        <color rgb="FFFF0000"/>
        <color rgb="FFFFFF00"/>
        <color rgb="FF00B050"/>
      </colorScale>
    </cfRule>
  </conditionalFormatting>
  <conditionalFormatting sqref="E16">
    <cfRule type="colorScale" priority="4">
      <colorScale>
        <cfvo type="min"/>
        <cfvo type="formula" val="$D$16/2"/>
        <cfvo type="formula" val="$D$16"/>
        <color rgb="FFFF0000"/>
        <color rgb="FFFFFF00"/>
        <color rgb="FF00B050"/>
      </colorScale>
    </cfRule>
  </conditionalFormatting>
  <conditionalFormatting sqref="E17">
    <cfRule type="colorScale" priority="23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13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16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15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2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18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14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conditionalFormatting sqref="E24">
    <cfRule type="colorScale" priority="3">
      <colorScale>
        <cfvo type="min"/>
        <cfvo type="formula" val="$D$24/2"/>
        <cfvo type="formula" val="$D$24"/>
        <color rgb="FFFF0000"/>
        <color rgb="FFFFFF00"/>
        <color rgb="FF00B050"/>
      </colorScale>
    </cfRule>
  </conditionalFormatting>
  <conditionalFormatting sqref="E25">
    <cfRule type="colorScale" priority="2">
      <colorScale>
        <cfvo type="min"/>
        <cfvo type="formula" val="$D$25/2"/>
        <cfvo type="formula" val="$D$25"/>
        <color rgb="FFFF0000"/>
        <color rgb="FFFFFF00"/>
        <color rgb="FF00B050"/>
      </colorScale>
    </cfRule>
  </conditionalFormatting>
  <conditionalFormatting sqref="E26">
    <cfRule type="colorScale" priority="1">
      <colorScale>
        <cfvo type="min"/>
        <cfvo type="formula" val="$D$26/2"/>
        <cfvo type="formula" val="$D$26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2026-05-01T03:30:44Z</dcterms:modified>
</cp:coreProperties>
</file>