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ECC93D00-A712-450C-84D0-E28E2C54FE83}" xr6:coauthVersionLast="47" xr6:coauthVersionMax="47" xr10:uidLastSave="{00000000-0000-0000-0000-000000000000}"/>
  <bookViews>
    <workbookView xWindow="31500" yWindow="2700" windowWidth="21600" windowHeight="11235" xr2:uid="{60C6FB9E-1B92-4818-B8F8-C10D82D4AFAC}"/>
  </bookViews>
  <sheets>
    <sheet name="Res, Cap &amp; Products – KPI #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" l="1"/>
  <c r="C18" i="1"/>
</calcChain>
</file>

<file path=xl/sharedStrings.xml><?xml version="1.0" encoding="utf-8"?>
<sst xmlns="http://schemas.openxmlformats.org/spreadsheetml/2006/main" count="26" uniqueCount="26">
  <si>
    <t>IITA KPI Heat Map  |  KPI Count (#)  |  2025–2030</t>
  </si>
  <si>
    <t>Program</t>
  </si>
  <si>
    <t>K1  Papers (Thomson-indexed)</t>
  </si>
  <si>
    <t>2025</t>
  </si>
  <si>
    <t>2026</t>
  </si>
  <si>
    <t>2027</t>
  </si>
  <si>
    <t>2028</t>
  </si>
  <si>
    <t>2029</t>
  </si>
  <si>
    <t>2030</t>
  </si>
  <si>
    <t>Biotech</t>
  </si>
  <si>
    <t>Breeding</t>
  </si>
  <si>
    <t>Genebanks</t>
  </si>
  <si>
    <t>Seed System</t>
  </si>
  <si>
    <t>Plant Health</t>
  </si>
  <si>
    <t>Farming Systems</t>
  </si>
  <si>
    <t>NRM</t>
  </si>
  <si>
    <t>Mechanization</t>
  </si>
  <si>
    <t>FIAS</t>
  </si>
  <si>
    <t>GeYSI</t>
  </si>
  <si>
    <t>RCA</t>
  </si>
  <si>
    <t>Nutrition</t>
  </si>
  <si>
    <t>AVCM</t>
  </si>
  <si>
    <t>Annual total</t>
  </si>
  <si>
    <t>Max</t>
  </si>
  <si>
    <t>Annual Target</t>
  </si>
  <si>
    <t>Per Program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</si>
</sst>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1F3864"/>
      <name val="Arial"/>
      <family val="2"/>
    </font>
    <font>
      <b/>
      <sz val="9"/>
      <color rgb="FF1F3864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595959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203864"/>
      </patternFill>
    </fill>
    <fill>
      <patternFill patternType="solid">
        <fgColor rgb="FF1E75BC"/>
      </patternFill>
    </fill>
    <fill>
      <patternFill patternType="solid">
        <fgColor rgb="FF0F6E56"/>
      </patternFill>
    </fill>
    <fill>
      <patternFill patternType="solid">
        <fgColor rgb="FF3B6D11"/>
      </patternFill>
    </fill>
    <fill>
      <patternFill patternType="solid">
        <fgColor rgb="FF854F0B"/>
      </patternFill>
    </fill>
    <fill>
      <patternFill patternType="solid">
        <fgColor rgb="FF993556"/>
      </patternFill>
    </fill>
    <fill>
      <patternFill patternType="solid">
        <fgColor rgb="FF534AB7"/>
      </patternFill>
    </fill>
    <fill>
      <patternFill patternType="solid">
        <fgColor rgb="FFD6E4F7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medium">
        <color rgb="FF595959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 applyAlignment="1">
      <alignment horizontal="left" vertical="center"/>
    </xf>
    <xf numFmtId="165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left" vertical="center"/>
    </xf>
    <xf numFmtId="165" fontId="5" fillId="4" borderId="1" xfId="1" applyNumberFormat="1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/>
    </xf>
    <xf numFmtId="0" fontId="5" fillId="8" borderId="0" xfId="0" applyFont="1" applyFill="1" applyAlignment="1">
      <alignment horizontal="left" vertical="center"/>
    </xf>
    <xf numFmtId="0" fontId="5" fillId="9" borderId="0" xfId="0" applyFont="1" applyFill="1" applyAlignment="1">
      <alignment horizontal="left" vertical="center"/>
    </xf>
    <xf numFmtId="0" fontId="3" fillId="10" borderId="0" xfId="0" applyFont="1" applyFill="1" applyAlignment="1">
      <alignment horizontal="left" vertical="center"/>
    </xf>
    <xf numFmtId="166" fontId="6" fillId="0" borderId="1" xfId="1" applyNumberFormat="1" applyFont="1" applyFill="1" applyBorder="1" applyAlignment="1">
      <alignment horizontal="left" vertical="center"/>
    </xf>
    <xf numFmtId="0" fontId="7" fillId="11" borderId="0" xfId="0" applyFont="1" applyFill="1" applyAlignment="1">
      <alignment vertical="center"/>
    </xf>
    <xf numFmtId="165" fontId="7" fillId="11" borderId="1" xfId="1" applyNumberFormat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165" fontId="7" fillId="0" borderId="1" xfId="1" applyNumberFormat="1" applyFont="1" applyFill="1" applyBorder="1" applyAlignment="1">
      <alignment vertical="center"/>
    </xf>
    <xf numFmtId="0" fontId="4" fillId="3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A326-557F-46A5-AEA8-D42BBCF0052C}">
  <dimension ref="B1:H20"/>
  <sheetViews>
    <sheetView tabSelected="1" zoomScale="75" zoomScaleNormal="75" workbookViewId="0">
      <pane xSplit="2" ySplit="3" topLeftCell="C4" activePane="bottomRight" state="frozen"/>
      <selection pane="topRight"/>
      <selection pane="bottomLeft"/>
      <selection pane="bottomRight" activeCell="C7" sqref="C7"/>
    </sheetView>
  </sheetViews>
  <sheetFormatPr defaultRowHeight="14.4"/>
  <cols>
    <col min="2" max="2" width="16" customWidth="1"/>
    <col min="3" max="3" width="5.77734375" style="2" customWidth="1"/>
    <col min="4" max="4" width="7.33203125" style="3" customWidth="1"/>
    <col min="5" max="5" width="7.44140625" style="3" customWidth="1"/>
    <col min="6" max="6" width="7.109375" style="3" customWidth="1"/>
    <col min="7" max="7" width="6.88671875" style="3" customWidth="1"/>
    <col min="8" max="8" width="8.33203125" style="3" customWidth="1"/>
    <col min="9" max="9" width="4.77734375" customWidth="1"/>
  </cols>
  <sheetData>
    <row r="1" spans="2:8" ht="22.05" customHeight="1">
      <c r="B1" s="1" t="s">
        <v>0</v>
      </c>
    </row>
    <row r="2" spans="2:8" ht="28.05" customHeight="1">
      <c r="B2" s="4" t="s">
        <v>1</v>
      </c>
      <c r="C2" s="17" t="s">
        <v>2</v>
      </c>
      <c r="D2" s="18"/>
      <c r="E2" s="18"/>
      <c r="F2" s="18"/>
      <c r="G2" s="18"/>
      <c r="H2" s="18"/>
    </row>
    <row r="3" spans="2:8" ht="18" customHeight="1">
      <c r="C3" s="5" t="s">
        <v>3</v>
      </c>
      <c r="D3" s="6" t="s">
        <v>4</v>
      </c>
      <c r="E3" s="7" t="s">
        <v>5</v>
      </c>
      <c r="F3" s="8" t="s">
        <v>6</v>
      </c>
      <c r="G3" s="9" t="s">
        <v>7</v>
      </c>
      <c r="H3" s="10" t="s">
        <v>8</v>
      </c>
    </row>
    <row r="4" spans="2:8" ht="15" customHeight="1">
      <c r="B4" s="11" t="s">
        <v>9</v>
      </c>
      <c r="C4" s="12">
        <v>22</v>
      </c>
      <c r="D4" s="12">
        <v>18</v>
      </c>
      <c r="E4" s="12">
        <v>29</v>
      </c>
      <c r="F4" s="12">
        <v>16</v>
      </c>
      <c r="G4" s="12">
        <v>18</v>
      </c>
      <c r="H4" s="12">
        <v>31</v>
      </c>
    </row>
    <row r="5" spans="2:8" ht="15" customHeight="1">
      <c r="B5" s="11" t="s">
        <v>10</v>
      </c>
      <c r="C5" s="12">
        <v>35</v>
      </c>
      <c r="D5" s="12">
        <v>20</v>
      </c>
      <c r="E5" s="12">
        <v>40</v>
      </c>
      <c r="F5" s="12">
        <v>23</v>
      </c>
      <c r="G5" s="12">
        <v>21</v>
      </c>
      <c r="H5" s="12">
        <v>17</v>
      </c>
    </row>
    <row r="6" spans="2:8" ht="15" customHeight="1">
      <c r="B6" s="11" t="s">
        <v>11</v>
      </c>
      <c r="C6" s="12">
        <v>9</v>
      </c>
      <c r="D6" s="12">
        <v>4</v>
      </c>
      <c r="E6" s="12">
        <v>9</v>
      </c>
      <c r="F6" s="12">
        <v>7</v>
      </c>
      <c r="G6" s="12">
        <v>8</v>
      </c>
      <c r="H6" s="12">
        <v>10</v>
      </c>
    </row>
    <row r="7" spans="2:8" ht="15" customHeight="1">
      <c r="B7" s="11" t="s">
        <v>12</v>
      </c>
      <c r="C7" s="12">
        <v>8</v>
      </c>
      <c r="D7" s="12">
        <v>6</v>
      </c>
      <c r="E7" s="12">
        <v>4</v>
      </c>
      <c r="F7" s="12">
        <v>11</v>
      </c>
      <c r="G7" s="12">
        <v>5</v>
      </c>
      <c r="H7" s="12">
        <v>11</v>
      </c>
    </row>
    <row r="8" spans="2:8" ht="15" customHeight="1">
      <c r="B8" s="11" t="s">
        <v>13</v>
      </c>
      <c r="C8" s="12">
        <v>56</v>
      </c>
      <c r="D8" s="12">
        <v>5</v>
      </c>
      <c r="E8" s="12">
        <v>48</v>
      </c>
      <c r="F8" s="12">
        <v>62</v>
      </c>
      <c r="G8" s="12">
        <v>44</v>
      </c>
      <c r="H8" s="12">
        <v>26</v>
      </c>
    </row>
    <row r="9" spans="2:8" ht="15" customHeight="1">
      <c r="B9" s="11" t="s">
        <v>14</v>
      </c>
      <c r="C9" s="12">
        <v>13</v>
      </c>
      <c r="D9" s="12">
        <v>13</v>
      </c>
      <c r="E9" s="12">
        <v>45</v>
      </c>
      <c r="F9" s="12">
        <v>11</v>
      </c>
      <c r="G9" s="12">
        <v>6</v>
      </c>
      <c r="H9" s="12">
        <v>4</v>
      </c>
    </row>
    <row r="10" spans="2:8" ht="15" customHeight="1">
      <c r="B10" s="11" t="s">
        <v>15</v>
      </c>
      <c r="C10" s="12">
        <v>30</v>
      </c>
      <c r="D10" s="12">
        <v>18</v>
      </c>
      <c r="E10" s="12">
        <v>21</v>
      </c>
      <c r="F10" s="12">
        <v>26</v>
      </c>
      <c r="G10" s="12">
        <v>26</v>
      </c>
      <c r="H10" s="12">
        <v>31</v>
      </c>
    </row>
    <row r="11" spans="2:8" ht="15" customHeight="1">
      <c r="B11" s="11" t="s">
        <v>16</v>
      </c>
      <c r="C11" s="12">
        <v>1</v>
      </c>
      <c r="D11" s="12">
        <v>1</v>
      </c>
      <c r="E11" s="12">
        <v>0</v>
      </c>
      <c r="F11" s="12">
        <v>5</v>
      </c>
      <c r="G11" s="12">
        <v>3</v>
      </c>
      <c r="H11" s="12">
        <v>5</v>
      </c>
    </row>
    <row r="12" spans="2:8" ht="15" customHeight="1">
      <c r="B12" s="11" t="s">
        <v>17</v>
      </c>
      <c r="C12" s="12">
        <v>4</v>
      </c>
      <c r="D12" s="12">
        <v>3</v>
      </c>
      <c r="E12" s="12">
        <v>3</v>
      </c>
      <c r="F12" s="12">
        <v>4</v>
      </c>
      <c r="G12" s="12">
        <v>2</v>
      </c>
      <c r="H12" s="12">
        <v>7</v>
      </c>
    </row>
    <row r="13" spans="2:8" ht="15" customHeight="1">
      <c r="B13" s="11" t="s">
        <v>18</v>
      </c>
      <c r="C13" s="12">
        <v>8</v>
      </c>
      <c r="D13" s="12">
        <v>9</v>
      </c>
      <c r="E13" s="12">
        <v>9</v>
      </c>
      <c r="F13" s="12">
        <v>8</v>
      </c>
      <c r="G13" s="12">
        <v>8</v>
      </c>
      <c r="H13" s="12">
        <v>10</v>
      </c>
    </row>
    <row r="14" spans="2:8" ht="15" customHeight="1">
      <c r="B14" s="11" t="s">
        <v>19</v>
      </c>
      <c r="C14" s="12">
        <v>11</v>
      </c>
      <c r="D14" s="12">
        <v>12</v>
      </c>
      <c r="E14" s="12">
        <v>4</v>
      </c>
      <c r="F14" s="12">
        <v>5</v>
      </c>
      <c r="G14" s="12">
        <v>7</v>
      </c>
      <c r="H14" s="12">
        <v>8</v>
      </c>
    </row>
    <row r="15" spans="2:8" ht="15" customHeight="1">
      <c r="B15" s="11" t="s">
        <v>20</v>
      </c>
      <c r="C15" s="12">
        <v>14</v>
      </c>
      <c r="D15" s="12">
        <v>16</v>
      </c>
      <c r="E15" s="12">
        <v>5</v>
      </c>
      <c r="F15" s="12">
        <v>6</v>
      </c>
      <c r="G15" s="12">
        <v>9</v>
      </c>
      <c r="H15" s="12">
        <v>10</v>
      </c>
    </row>
    <row r="16" spans="2:8" ht="13.05" customHeight="1">
      <c r="B16" s="11" t="s">
        <v>21</v>
      </c>
      <c r="C16" s="12">
        <v>10</v>
      </c>
      <c r="D16" s="12">
        <v>13</v>
      </c>
      <c r="E16" s="12">
        <v>15</v>
      </c>
      <c r="F16" s="12">
        <v>11</v>
      </c>
      <c r="G16" s="12">
        <v>16</v>
      </c>
      <c r="H16" s="12">
        <v>14</v>
      </c>
    </row>
    <row r="17" spans="2:8" ht="13.95" customHeight="1">
      <c r="B17" s="15" t="s">
        <v>22</v>
      </c>
      <c r="C17" s="16">
        <v>220</v>
      </c>
      <c r="D17" s="15"/>
      <c r="E17" s="15"/>
      <c r="F17" s="15"/>
      <c r="G17" s="15"/>
      <c r="H17" s="15"/>
    </row>
    <row r="18" spans="2:8" ht="13.95" customHeight="1">
      <c r="B18" s="15" t="s">
        <v>23</v>
      </c>
      <c r="C18" s="16">
        <f>MAX(C4:C16)</f>
        <v>56</v>
      </c>
      <c r="D18" s="15"/>
      <c r="E18" s="15"/>
      <c r="F18" s="15"/>
      <c r="G18" s="15"/>
      <c r="H18" s="15"/>
    </row>
    <row r="19" spans="2:8" ht="13.95" customHeight="1">
      <c r="B19" s="15" t="s">
        <v>24</v>
      </c>
      <c r="C19" s="16">
        <v>272</v>
      </c>
      <c r="D19" s="15"/>
      <c r="E19" s="15"/>
      <c r="F19" s="15"/>
      <c r="G19" s="15"/>
      <c r="H19" s="15"/>
    </row>
    <row r="20" spans="2:8" ht="13.95" customHeight="1">
      <c r="B20" s="13" t="s">
        <v>25</v>
      </c>
      <c r="C20" s="14">
        <f>C19/13</f>
        <v>20.923076923076923</v>
      </c>
      <c r="D20" s="13"/>
      <c r="E20" s="13"/>
      <c r="F20" s="13"/>
      <c r="G20" s="13"/>
      <c r="H20" s="13"/>
    </row>
  </sheetData>
  <mergeCells count="1">
    <mergeCell ref="C2:H2"/>
  </mergeCells>
  <conditionalFormatting sqref="C4:C16">
    <cfRule type="colorScale" priority="17">
      <colorScale>
        <cfvo type="min"/>
        <cfvo type="formula" val="$C$20/2"/>
        <cfvo type="formula" val="$C$20"/>
        <color rgb="FFFF0000"/>
        <color rgb="FFFFFF00"/>
        <color rgb="FF00B050"/>
      </colorScale>
    </cfRule>
  </conditionalFormatting>
  <conditionalFormatting sqref="D4:D16">
    <cfRule type="colorScale" priority="5">
      <colorScale>
        <cfvo type="min"/>
        <cfvo type="formula" val="$C$20/2"/>
        <cfvo type="formula" val="$C$20"/>
        <color rgb="FFFF0000"/>
        <color rgb="FFFFFF00"/>
        <color rgb="FF00B050"/>
      </colorScale>
    </cfRule>
  </conditionalFormatting>
  <conditionalFormatting sqref="E4:E16">
    <cfRule type="colorScale" priority="4">
      <colorScale>
        <cfvo type="min"/>
        <cfvo type="formula" val="$C$20/2"/>
        <cfvo type="formula" val="$C$20"/>
        <color rgb="FFFF0000"/>
        <color rgb="FFFFFF00"/>
        <color rgb="FF00B050"/>
      </colorScale>
    </cfRule>
  </conditionalFormatting>
  <conditionalFormatting sqref="F4:F16">
    <cfRule type="colorScale" priority="3">
      <colorScale>
        <cfvo type="min"/>
        <cfvo type="formula" val="$C$20/2"/>
        <cfvo type="formula" val="$C$20"/>
        <color rgb="FFFF0000"/>
        <color rgb="FFFFFF00"/>
        <color rgb="FF00B050"/>
      </colorScale>
    </cfRule>
  </conditionalFormatting>
  <conditionalFormatting sqref="G4:G16">
    <cfRule type="colorScale" priority="2">
      <colorScale>
        <cfvo type="min"/>
        <cfvo type="formula" val="$C$20/2"/>
        <cfvo type="formula" val="$C$20"/>
        <color rgb="FFFF0000"/>
        <color rgb="FFFFFF00"/>
        <color rgb="FF00B050"/>
      </colorScale>
    </cfRule>
  </conditionalFormatting>
  <conditionalFormatting sqref="H4:H16">
    <cfRule type="colorScale" priority="1">
      <colorScale>
        <cfvo type="min"/>
        <cfvo type="formula" val="$C$20/2"/>
        <cfvo type="formula" val="$C$20"/>
        <color rgb="FFFF0000"/>
        <color rgb="FFFFFF00"/>
        <color rgb="FF00B050"/>
      </colorScale>
    </cfRule>
  </conditionalFormatting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Res, Cap &amp; Products – KPI 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2026-04-03T09:13:46Z</dcterms:created>
  <dcterms:modified xsi:type="dcterms:W3CDTF">2026-04-08T16:52:39Z</dcterms:modified>
</cp:coreProperties>
</file>