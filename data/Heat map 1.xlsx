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6BB90A00-C62E-4F71-AE5E-4EA14CC71862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Product'!$B$1:$P$19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N19" i="1"/>
  <c r="J19" i="1"/>
  <c r="I19" i="1"/>
  <c r="H19" i="1"/>
  <c r="G19" i="1"/>
  <c r="D19" i="1"/>
  <c r="O17" i="1"/>
  <c r="N17" i="1"/>
  <c r="K17" i="1"/>
  <c r="J17" i="1"/>
  <c r="I17" i="1"/>
  <c r="H17" i="1"/>
  <c r="G17" i="1"/>
  <c r="F17" i="1"/>
  <c r="D17" i="1"/>
</calcChain>
</file>

<file path=xl/sharedStrings.xml><?xml version="1.0" encoding="utf-8"?>
<sst xmlns="http://schemas.openxmlformats.org/spreadsheetml/2006/main" count="74" uniqueCount="39">
  <si>
    <t>KPI by Nr.</t>
  </si>
  <si>
    <t>Research Outputs</t>
  </si>
  <si>
    <t>Training and Capacity Building</t>
  </si>
  <si>
    <t>Product Development</t>
  </si>
  <si>
    <t>Thomson indexed publications</t>
  </si>
  <si>
    <t>Publications per IRS</t>
  </si>
  <si>
    <t>High impact publications</t>
  </si>
  <si>
    <t>PhD and MsC  students enrolled</t>
  </si>
  <si>
    <t>PhD and MsC  theses completed</t>
  </si>
  <si>
    <t>Stakeholders trained on innovations</t>
  </si>
  <si>
    <t>Training to NARES by IITA Scientists</t>
  </si>
  <si>
    <t>Varieties released</t>
  </si>
  <si>
    <t>Genetic gain rate</t>
  </si>
  <si>
    <t>Crop Trust compliance rate</t>
  </si>
  <si>
    <t>Innovations in e-Catalogue</t>
  </si>
  <si>
    <t>Innovations taken on by scaling partners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</si>
  <si>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</si>
  <si>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</si>
  <si>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</si>
  <si>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</si>
  <si>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</si>
  <si>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</si>
  <si>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</si>
  <si>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</si>
  <si>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</si>
  <si>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</si>
  <si>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</si>
  <si>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</si>
  <si>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</si>
  <si>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</si>
  <si>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</si>
  <si>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</si>
  <si>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</si>
  <si>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2025 Actual Values</t>
  </si>
  <si>
    <t>Annual Target</t>
  </si>
  <si>
    <t>Per Program Target (target/13)</t>
  </si>
  <si>
    <t>Comments</t>
  </si>
  <si>
    <t xml:space="preserve">It looks like the colorscheme is not consistently applied everywhere </t>
  </si>
  <si>
    <t>(e.g., see the different versions of red in cells G4 and H4)?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</si>
</sst>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"/>
    <numFmt numFmtId="165" formatCode="0.0%"/>
    <numFmt numFmtId="166" formatCode="_(* #,##0_);_(* \(#,##0\);_(* &quot;-&quot;??_);_(@_)"/>
    <numFmt numFmtId="167" formatCode="_(* #,##0.0_);_(* \(#,##0.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8"/>
      <color rgb="FF0070C0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11"/>
      <color rgb="FF00B050"/>
      <name val="Calibri"/>
      <family val="2"/>
    </font>
    <font>
      <b/>
      <sz val="9"/>
      <color rgb="FF00B050"/>
      <name val="Calibri"/>
      <family val="2"/>
    </font>
    <font>
      <b/>
      <sz val="11"/>
      <color rgb="FF00B05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rgb="FF0070C0"/>
      <name val="Calibri"/>
      <family val="2"/>
    </font>
    <font>
      <b/>
      <sz val="8"/>
      <color rgb="FF0070C0"/>
      <name val="Calibri"/>
      <family val="2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thin">
        <color rgb="FF00B050"/>
      </bottom>
      <diagonal/>
    </border>
    <border>
      <left/>
      <right/>
      <top style="medium">
        <color theme="1"/>
      </top>
      <bottom/>
      <diagonal/>
    </border>
    <border>
      <left/>
      <right style="thin">
        <color indexed="64"/>
      </right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7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164" fontId="0" fillId="0" borderId="0" xfId="0" applyNumberFormat="1"/>
    <xf numFmtId="0" fontId="5" fillId="0" borderId="0" xfId="0" applyFont="1" applyAlignment="1">
      <alignment vertical="top"/>
    </xf>
    <xf numFmtId="0" fontId="6" fillId="2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164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4" fillId="0" borderId="0" xfId="0" applyFont="1"/>
    <xf numFmtId="0" fontId="4" fillId="0" borderId="8" xfId="0" applyFont="1" applyBorder="1" applyAlignment="1">
      <alignment horizontal="left" vertical="top"/>
    </xf>
    <xf numFmtId="0" fontId="9" fillId="0" borderId="9" xfId="0" applyFont="1" applyBorder="1" applyAlignment="1">
      <alignment horizontal="center" textRotation="90" wrapText="1" readingOrder="1"/>
    </xf>
    <xf numFmtId="0" fontId="9" fillId="0" borderId="10" xfId="0" applyFont="1" applyBorder="1" applyAlignment="1">
      <alignment horizontal="center" textRotation="90" wrapText="1" readingOrder="1"/>
    </xf>
    <xf numFmtId="0" fontId="9" fillId="0" borderId="11" xfId="0" applyFont="1" applyBorder="1" applyAlignment="1">
      <alignment horizontal="center" textRotation="90" wrapText="1" readingOrder="1"/>
    </xf>
    <xf numFmtId="0" fontId="4" fillId="0" borderId="10" xfId="0" applyFont="1" applyBorder="1" applyAlignment="1">
      <alignment horizontal="center" textRotation="90" wrapText="1" readingOrder="1"/>
    </xf>
    <xf numFmtId="0" fontId="4" fillId="0" borderId="0" xfId="0" applyFont="1" applyAlignment="1">
      <alignment horizontal="center" readingOrder="1"/>
    </xf>
    <xf numFmtId="164" fontId="10" fillId="0" borderId="0" xfId="0" applyNumberFormat="1" applyFont="1"/>
    <xf numFmtId="0" fontId="10" fillId="0" borderId="0" xfId="0" applyFont="1"/>
    <xf numFmtId="0" fontId="9" fillId="0" borderId="4" xfId="0" applyFont="1" applyBorder="1" applyAlignment="1">
      <alignment horizontal="left" vertical="center" wrapText="1"/>
    </xf>
    <xf numFmtId="164" fontId="4" fillId="0" borderId="5" xfId="0" applyNumberFormat="1" applyFont="1" applyBorder="1" applyAlignment="1">
      <alignment horizontal="center"/>
    </xf>
    <xf numFmtId="164" fontId="4" fillId="0" borderId="6" xfId="1" applyNumberFormat="1" applyFont="1" applyBorder="1" applyAlignment="1">
      <alignment horizontal="center"/>
    </xf>
    <xf numFmtId="164" fontId="4" fillId="0" borderId="7" xfId="2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0" fontId="9" fillId="0" borderId="14" xfId="0" applyFont="1" applyBorder="1" applyAlignment="1">
      <alignment horizontal="left" vertical="center" wrapText="1"/>
    </xf>
    <xf numFmtId="164" fontId="4" fillId="0" borderId="15" xfId="0" applyNumberFormat="1" applyFont="1" applyBorder="1" applyAlignment="1">
      <alignment horizontal="center"/>
    </xf>
    <xf numFmtId="164" fontId="4" fillId="0" borderId="16" xfId="1" applyNumberFormat="1" applyFont="1" applyBorder="1" applyAlignment="1">
      <alignment horizontal="center"/>
    </xf>
    <xf numFmtId="164" fontId="4" fillId="0" borderId="17" xfId="2" applyNumberFormat="1" applyFont="1" applyBorder="1" applyAlignment="1">
      <alignment horizontal="center"/>
    </xf>
    <xf numFmtId="164" fontId="4" fillId="0" borderId="16" xfId="0" applyNumberFormat="1" applyFont="1" applyBorder="1" applyAlignment="1">
      <alignment horizontal="center"/>
    </xf>
    <xf numFmtId="164" fontId="4" fillId="0" borderId="17" xfId="0" applyNumberFormat="1" applyFont="1" applyBorder="1" applyAlignment="1">
      <alignment horizontal="center"/>
    </xf>
    <xf numFmtId="165" fontId="4" fillId="0" borderId="16" xfId="2" applyNumberFormat="1" applyFont="1" applyBorder="1" applyAlignment="1">
      <alignment horizontal="left" indent="1"/>
    </xf>
    <xf numFmtId="9" fontId="4" fillId="0" borderId="16" xfId="2" applyFont="1" applyBorder="1" applyAlignment="1">
      <alignment horizontal="center"/>
    </xf>
    <xf numFmtId="0" fontId="9" fillId="0" borderId="18" xfId="0" applyFont="1" applyBorder="1" applyAlignment="1">
      <alignment horizontal="left" vertical="center" wrapText="1"/>
    </xf>
    <xf numFmtId="164" fontId="4" fillId="0" borderId="19" xfId="0" applyNumberFormat="1" applyFont="1" applyBorder="1" applyAlignment="1">
      <alignment horizontal="center"/>
    </xf>
    <xf numFmtId="164" fontId="4" fillId="0" borderId="20" xfId="1" applyNumberFormat="1" applyFont="1" applyBorder="1" applyAlignment="1">
      <alignment horizontal="center"/>
    </xf>
    <xf numFmtId="164" fontId="4" fillId="0" borderId="21" xfId="2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0" fontId="12" fillId="0" borderId="0" xfId="0" applyFont="1"/>
    <xf numFmtId="0" fontId="13" fillId="0" borderId="0" xfId="0" applyFont="1"/>
    <xf numFmtId="166" fontId="13" fillId="0" borderId="0" xfId="1" applyNumberFormat="1" applyFont="1"/>
    <xf numFmtId="167" fontId="13" fillId="0" borderId="0" xfId="1" applyNumberFormat="1" applyFont="1"/>
    <xf numFmtId="9" fontId="13" fillId="0" borderId="0" xfId="2" applyFont="1"/>
    <xf numFmtId="164" fontId="14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166" fontId="16" fillId="0" borderId="0" xfId="1" applyNumberFormat="1" applyFont="1"/>
    <xf numFmtId="0" fontId="16" fillId="0" borderId="0" xfId="2" applyNumberFormat="1" applyFont="1"/>
    <xf numFmtId="166" fontId="17" fillId="0" borderId="0" xfId="1" applyNumberFormat="1" applyFont="1"/>
    <xf numFmtId="10" fontId="16" fillId="0" borderId="0" xfId="2" applyNumberFormat="1" applyFont="1"/>
    <xf numFmtId="9" fontId="16" fillId="0" borderId="0" xfId="0" applyNumberFormat="1" applyFont="1"/>
    <xf numFmtId="0" fontId="16" fillId="0" borderId="0" xfId="0" applyFont="1" applyAlignment="1">
      <alignment horizontal="center"/>
    </xf>
    <xf numFmtId="164" fontId="15" fillId="0" borderId="0" xfId="0" applyNumberFormat="1" applyFont="1"/>
    <xf numFmtId="2" fontId="16" fillId="0" borderId="0" xfId="0" applyNumberFormat="1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66" fontId="4" fillId="0" borderId="0" xfId="1" applyNumberFormat="1" applyFont="1"/>
    <xf numFmtId="9" fontId="4" fillId="0" borderId="0" xfId="2" applyFont="1" applyAlignment="1">
      <alignment horizontal="center"/>
    </xf>
    <xf numFmtId="0" fontId="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top"/>
    </xf>
    <xf numFmtId="0" fontId="0" fillId="0" borderId="27" xfId="0" applyBorder="1"/>
    <xf numFmtId="0" fontId="0" fillId="0" borderId="28" xfId="0" applyBorder="1"/>
    <xf numFmtId="0" fontId="11" fillId="2" borderId="13" xfId="0" applyFont="1" applyFill="1" applyBorder="1" applyAlignment="1">
      <alignment horizontal="center" vertical="center" textRotation="90"/>
    </xf>
    <xf numFmtId="0" fontId="0" fillId="0" borderId="12" xfId="0" applyBorder="1"/>
    <xf numFmtId="0" fontId="0" fillId="0" borderId="24" xfId="0" applyBorder="1"/>
    <xf numFmtId="0" fontId="7" fillId="2" borderId="2" xfId="0" applyFont="1" applyFill="1" applyBorder="1" applyAlignment="1">
      <alignment horizontal="center" vertical="top" wrapText="1"/>
    </xf>
    <xf numFmtId="0" fontId="11" fillId="2" borderId="23" xfId="0" applyFont="1" applyFill="1" applyBorder="1" applyAlignment="1">
      <alignment horizontal="center" vertical="center" textRotation="90"/>
    </xf>
    <xf numFmtId="0" fontId="0" fillId="0" borderId="22" xfId="0" applyBorder="1"/>
    <xf numFmtId="0" fontId="3" fillId="2" borderId="1" xfId="0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U24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O16" sqref="O16"/>
    </sheetView>
  </sheetViews>
  <sheetFormatPr defaultRowHeight="14.4" x14ac:dyDescent="0.3"/>
  <cols>
    <col min="1" max="1" width="4.21875" customWidth="1"/>
    <col min="2" max="2" width="3.21875" bestFit="1" customWidth="1"/>
    <col min="3" max="3" width="24.88671875" style="59" bestFit="1" customWidth="1"/>
    <col min="4" max="4" width="8" style="2" customWidth="1"/>
    <col min="5" max="5" width="8" style="57" customWidth="1"/>
    <col min="6" max="6" width="8" style="58" customWidth="1"/>
    <col min="7" max="15" width="8" style="2" customWidth="1"/>
    <col min="16" max="16" width="9.33203125" style="2" customWidth="1"/>
    <col min="17" max="21" width="8.21875" style="3" customWidth="1"/>
  </cols>
  <sheetData>
    <row r="1" spans="1:21" ht="24" customHeight="1" thickBot="1" x14ac:dyDescent="0.5">
      <c r="A1" s="1"/>
      <c r="B1" s="1"/>
      <c r="C1" s="72" t="s">
        <v>0</v>
      </c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4"/>
    </row>
    <row r="2" spans="1:21" s="8" customFormat="1" ht="18.600000000000001" customHeight="1" thickBot="1" x14ac:dyDescent="0.35">
      <c r="A2" s="4"/>
      <c r="B2" s="4"/>
      <c r="C2" s="5"/>
      <c r="D2" s="63" t="s">
        <v>1</v>
      </c>
      <c r="E2" s="64"/>
      <c r="F2" s="65"/>
      <c r="G2" s="69" t="s">
        <v>2</v>
      </c>
      <c r="H2" s="64"/>
      <c r="I2" s="64"/>
      <c r="J2" s="65"/>
      <c r="K2" s="69" t="s">
        <v>3</v>
      </c>
      <c r="L2" s="64"/>
      <c r="M2" s="64"/>
      <c r="N2" s="64"/>
      <c r="O2" s="65"/>
      <c r="P2" s="6"/>
      <c r="Q2" s="7"/>
      <c r="R2" s="7"/>
      <c r="S2" s="7"/>
      <c r="T2" s="7"/>
      <c r="U2" s="7"/>
    </row>
    <row r="3" spans="1:21" s="17" customFormat="1" ht="143.55000000000001" customHeight="1" thickBot="1" x14ac:dyDescent="0.3">
      <c r="A3" s="9"/>
      <c r="B3" s="9"/>
      <c r="C3" s="10"/>
      <c r="D3" s="11" t="s">
        <v>4</v>
      </c>
      <c r="E3" s="12" t="s">
        <v>5</v>
      </c>
      <c r="F3" s="13" t="s">
        <v>6</v>
      </c>
      <c r="G3" s="11" t="s">
        <v>7</v>
      </c>
      <c r="H3" s="12" t="s">
        <v>8</v>
      </c>
      <c r="I3" s="12" t="s">
        <v>9</v>
      </c>
      <c r="J3" s="13" t="s">
        <v>10</v>
      </c>
      <c r="K3" s="11" t="s">
        <v>11</v>
      </c>
      <c r="L3" s="14" t="s">
        <v>12</v>
      </c>
      <c r="M3" s="14" t="s">
        <v>13</v>
      </c>
      <c r="N3" s="12" t="s">
        <v>14</v>
      </c>
      <c r="O3" s="13" t="s">
        <v>15</v>
      </c>
      <c r="P3" s="15"/>
      <c r="Q3" s="16"/>
      <c r="R3" s="16"/>
      <c r="S3" s="16"/>
      <c r="T3" s="16"/>
      <c r="U3" s="16"/>
    </row>
    <row r="4" spans="1:21" ht="15.6" customHeight="1" x14ac:dyDescent="0.3">
      <c r="A4" s="1"/>
      <c r="B4" s="66" t="s">
        <v>16</v>
      </c>
      <c r="C4" s="18" t="s">
        <v>17</v>
      </c>
      <c r="D4" s="19">
        <v>21.95</v>
      </c>
      <c r="E4" s="20">
        <v>3.1357142857142861</v>
      </c>
      <c r="F4" s="21">
        <v>1</v>
      </c>
      <c r="G4" s="19">
        <v>1</v>
      </c>
      <c r="H4" s="22">
        <v>1</v>
      </c>
      <c r="I4" s="22">
        <v>68</v>
      </c>
      <c r="J4" s="23">
        <v>184</v>
      </c>
      <c r="K4" s="19" t="s">
        <v>18</v>
      </c>
      <c r="L4" s="22" t="s">
        <v>18</v>
      </c>
      <c r="M4" s="22" t="s">
        <v>18</v>
      </c>
      <c r="N4" s="22">
        <v>1</v>
      </c>
      <c r="O4" s="23">
        <v>0</v>
      </c>
    </row>
    <row r="5" spans="1:21" ht="15.6" customHeight="1" x14ac:dyDescent="0.3">
      <c r="A5" s="1"/>
      <c r="B5" s="67"/>
      <c r="C5" s="24" t="s">
        <v>19</v>
      </c>
      <c r="D5" s="25">
        <v>51.45</v>
      </c>
      <c r="E5" s="26">
        <v>2.2369565217391312</v>
      </c>
      <c r="F5" s="27">
        <v>0</v>
      </c>
      <c r="G5" s="25">
        <v>24</v>
      </c>
      <c r="H5" s="28">
        <v>28</v>
      </c>
      <c r="I5" s="28">
        <v>108</v>
      </c>
      <c r="J5" s="29">
        <v>214</v>
      </c>
      <c r="K5" s="25">
        <v>15</v>
      </c>
      <c r="L5" s="30">
        <v>1.4999999999999999E-2</v>
      </c>
      <c r="M5" s="28" t="s">
        <v>18</v>
      </c>
      <c r="N5" s="28">
        <v>8</v>
      </c>
      <c r="O5" s="29">
        <v>5</v>
      </c>
    </row>
    <row r="6" spans="1:21" ht="15.6" customHeight="1" x14ac:dyDescent="0.3">
      <c r="A6" s="1"/>
      <c r="B6" s="67"/>
      <c r="C6" s="24" t="s">
        <v>20</v>
      </c>
      <c r="D6" s="25">
        <v>5</v>
      </c>
      <c r="E6" s="26">
        <v>1.25</v>
      </c>
      <c r="F6" s="27">
        <v>0</v>
      </c>
      <c r="G6" s="25">
        <v>26</v>
      </c>
      <c r="H6" s="28">
        <v>19</v>
      </c>
      <c r="I6" s="28">
        <v>5</v>
      </c>
      <c r="J6" s="29">
        <v>113</v>
      </c>
      <c r="K6" s="25" t="s">
        <v>18</v>
      </c>
      <c r="L6" s="28" t="s">
        <v>18</v>
      </c>
      <c r="M6" s="31">
        <v>1</v>
      </c>
      <c r="N6" s="28">
        <v>0</v>
      </c>
      <c r="O6" s="29">
        <v>0</v>
      </c>
    </row>
    <row r="7" spans="1:21" ht="15.6" customHeight="1" thickBot="1" x14ac:dyDescent="0.35">
      <c r="A7" s="1"/>
      <c r="B7" s="68"/>
      <c r="C7" s="32" t="s">
        <v>21</v>
      </c>
      <c r="D7" s="33">
        <v>15.4</v>
      </c>
      <c r="E7" s="34">
        <v>1.0266666666666671</v>
      </c>
      <c r="F7" s="35">
        <v>0</v>
      </c>
      <c r="G7" s="33">
        <v>5</v>
      </c>
      <c r="H7" s="36">
        <v>7</v>
      </c>
      <c r="I7" s="36">
        <v>2247</v>
      </c>
      <c r="J7" s="37">
        <v>309</v>
      </c>
      <c r="K7" s="33" t="s">
        <v>18</v>
      </c>
      <c r="L7" s="36" t="s">
        <v>18</v>
      </c>
      <c r="M7" s="36" t="s">
        <v>18</v>
      </c>
      <c r="N7" s="36">
        <v>17</v>
      </c>
      <c r="O7" s="37">
        <v>2</v>
      </c>
    </row>
    <row r="8" spans="1:21" ht="15.6" customHeight="1" x14ac:dyDescent="0.3">
      <c r="A8" s="1"/>
      <c r="B8" s="66" t="s">
        <v>22</v>
      </c>
      <c r="C8" s="18" t="s">
        <v>23</v>
      </c>
      <c r="D8" s="19">
        <v>41.45</v>
      </c>
      <c r="E8" s="20">
        <v>3.4541666666666671</v>
      </c>
      <c r="F8" s="21">
        <v>1</v>
      </c>
      <c r="G8" s="19">
        <v>9</v>
      </c>
      <c r="H8" s="22">
        <v>9</v>
      </c>
      <c r="I8" s="22">
        <v>102</v>
      </c>
      <c r="J8" s="23">
        <v>10</v>
      </c>
      <c r="K8" s="19" t="s">
        <v>18</v>
      </c>
      <c r="L8" s="22" t="s">
        <v>18</v>
      </c>
      <c r="M8" s="22" t="s">
        <v>18</v>
      </c>
      <c r="N8" s="22">
        <v>6</v>
      </c>
      <c r="O8" s="23">
        <v>2</v>
      </c>
    </row>
    <row r="9" spans="1:21" ht="15.6" customHeight="1" x14ac:dyDescent="0.3">
      <c r="A9" s="1"/>
      <c r="B9" s="67"/>
      <c r="C9" s="24" t="s">
        <v>24</v>
      </c>
      <c r="D9" s="25">
        <v>20.87</v>
      </c>
      <c r="E9" s="26">
        <v>1.0435000000000001</v>
      </c>
      <c r="F9" s="27">
        <v>1</v>
      </c>
      <c r="G9" s="25">
        <v>22</v>
      </c>
      <c r="H9" s="28">
        <v>14</v>
      </c>
      <c r="I9" s="28">
        <v>3185</v>
      </c>
      <c r="J9" s="29">
        <v>233</v>
      </c>
      <c r="K9" s="25" t="s">
        <v>18</v>
      </c>
      <c r="L9" s="28" t="s">
        <v>18</v>
      </c>
      <c r="M9" s="28" t="s">
        <v>18</v>
      </c>
      <c r="N9" s="28">
        <v>1</v>
      </c>
      <c r="O9" s="29">
        <v>9</v>
      </c>
    </row>
    <row r="10" spans="1:21" ht="15.6" customHeight="1" x14ac:dyDescent="0.3">
      <c r="A10" s="1"/>
      <c r="B10" s="67"/>
      <c r="C10" s="24" t="s">
        <v>25</v>
      </c>
      <c r="D10" s="25">
        <v>15.5</v>
      </c>
      <c r="E10" s="26">
        <v>2.214285714285714</v>
      </c>
      <c r="F10" s="27">
        <v>2</v>
      </c>
      <c r="G10" s="25">
        <v>7</v>
      </c>
      <c r="H10" s="28">
        <v>3</v>
      </c>
      <c r="I10" s="28">
        <v>3754</v>
      </c>
      <c r="J10" s="29">
        <v>20</v>
      </c>
      <c r="K10" s="25" t="s">
        <v>18</v>
      </c>
      <c r="L10" s="28" t="s">
        <v>18</v>
      </c>
      <c r="M10" s="28" t="s">
        <v>18</v>
      </c>
      <c r="N10" s="28">
        <v>10</v>
      </c>
      <c r="O10" s="29">
        <v>2</v>
      </c>
    </row>
    <row r="11" spans="1:21" ht="15.6" customHeight="1" thickBot="1" x14ac:dyDescent="0.35">
      <c r="A11" s="1"/>
      <c r="B11" s="68"/>
      <c r="C11" s="32" t="s">
        <v>26</v>
      </c>
      <c r="D11" s="33">
        <v>0</v>
      </c>
      <c r="E11" s="34">
        <v>0</v>
      </c>
      <c r="F11" s="35">
        <v>0</v>
      </c>
      <c r="G11" s="33">
        <v>2</v>
      </c>
      <c r="H11" s="36">
        <v>1</v>
      </c>
      <c r="I11" s="36">
        <v>0</v>
      </c>
      <c r="J11" s="37">
        <v>0</v>
      </c>
      <c r="K11" s="33" t="s">
        <v>18</v>
      </c>
      <c r="L11" s="36" t="s">
        <v>18</v>
      </c>
      <c r="M11" s="36" t="s">
        <v>18</v>
      </c>
      <c r="N11" s="36">
        <v>3</v>
      </c>
      <c r="O11" s="37">
        <v>3</v>
      </c>
    </row>
    <row r="12" spans="1:21" ht="15.6" customHeight="1" x14ac:dyDescent="0.3">
      <c r="A12" s="1"/>
      <c r="B12" s="70" t="s">
        <v>27</v>
      </c>
      <c r="C12" s="18" t="s">
        <v>28</v>
      </c>
      <c r="D12" s="19">
        <v>9.92</v>
      </c>
      <c r="E12" s="20">
        <v>0.90181818181818185</v>
      </c>
      <c r="F12" s="21">
        <v>0</v>
      </c>
      <c r="G12" s="19">
        <v>5</v>
      </c>
      <c r="H12" s="22">
        <v>5</v>
      </c>
      <c r="I12" s="22">
        <v>94</v>
      </c>
      <c r="J12" s="23">
        <v>109</v>
      </c>
      <c r="K12" s="19" t="s">
        <v>18</v>
      </c>
      <c r="L12" s="22" t="s">
        <v>18</v>
      </c>
      <c r="M12" s="22" t="s">
        <v>18</v>
      </c>
      <c r="N12" s="22">
        <v>0</v>
      </c>
      <c r="O12" s="23">
        <v>0</v>
      </c>
    </row>
    <row r="13" spans="1:21" ht="15.6" customHeight="1" x14ac:dyDescent="0.3">
      <c r="A13" s="1"/>
      <c r="B13" s="67"/>
      <c r="C13" s="24" t="s">
        <v>29</v>
      </c>
      <c r="D13" s="25">
        <v>6.6</v>
      </c>
      <c r="E13" s="26">
        <v>0.6</v>
      </c>
      <c r="F13" s="27">
        <v>0</v>
      </c>
      <c r="G13" s="25">
        <v>4</v>
      </c>
      <c r="H13" s="28">
        <v>3</v>
      </c>
      <c r="I13" s="28">
        <v>1912</v>
      </c>
      <c r="J13" s="29">
        <v>156</v>
      </c>
      <c r="K13" s="25" t="s">
        <v>18</v>
      </c>
      <c r="L13" s="28" t="s">
        <v>18</v>
      </c>
      <c r="M13" s="28" t="s">
        <v>18</v>
      </c>
      <c r="N13" s="28">
        <v>0</v>
      </c>
      <c r="O13" s="29">
        <v>0</v>
      </c>
    </row>
    <row r="14" spans="1:21" ht="15.6" customHeight="1" x14ac:dyDescent="0.3">
      <c r="A14" s="1"/>
      <c r="B14" s="67"/>
      <c r="C14" s="24" t="s">
        <v>30</v>
      </c>
      <c r="D14" s="25">
        <v>13.33</v>
      </c>
      <c r="E14" s="26">
        <v>2.6659999999999999</v>
      </c>
      <c r="F14" s="27">
        <v>1</v>
      </c>
      <c r="G14" s="25">
        <v>1</v>
      </c>
      <c r="H14" s="28">
        <v>2</v>
      </c>
      <c r="I14" s="28">
        <v>0</v>
      </c>
      <c r="J14" s="29">
        <v>0</v>
      </c>
      <c r="K14" s="25" t="s">
        <v>18</v>
      </c>
      <c r="L14" s="28" t="s">
        <v>18</v>
      </c>
      <c r="M14" s="28" t="s">
        <v>18</v>
      </c>
      <c r="N14" s="28">
        <v>0</v>
      </c>
      <c r="O14" s="29">
        <v>0</v>
      </c>
    </row>
    <row r="15" spans="1:21" ht="15.6" customHeight="1" x14ac:dyDescent="0.3">
      <c r="A15" s="1"/>
      <c r="B15" s="67"/>
      <c r="C15" s="24" t="s">
        <v>31</v>
      </c>
      <c r="D15" s="25">
        <v>12.5</v>
      </c>
      <c r="E15" s="26">
        <v>3.125</v>
      </c>
      <c r="F15" s="27">
        <v>0</v>
      </c>
      <c r="G15" s="25">
        <v>2</v>
      </c>
      <c r="H15" s="28">
        <v>8</v>
      </c>
      <c r="I15" s="28">
        <v>130</v>
      </c>
      <c r="J15" s="29">
        <v>15</v>
      </c>
      <c r="K15" s="25" t="s">
        <v>18</v>
      </c>
      <c r="L15" s="28" t="s">
        <v>18</v>
      </c>
      <c r="M15" s="28" t="s">
        <v>18</v>
      </c>
      <c r="N15" s="28">
        <v>0</v>
      </c>
      <c r="O15" s="29">
        <v>0</v>
      </c>
    </row>
    <row r="16" spans="1:21" ht="15.6" customHeight="1" thickBot="1" x14ac:dyDescent="0.35">
      <c r="A16" s="1"/>
      <c r="B16" s="71"/>
      <c r="C16" s="32" t="s">
        <v>32</v>
      </c>
      <c r="D16" s="33">
        <v>3</v>
      </c>
      <c r="E16" s="34">
        <v>0.3</v>
      </c>
      <c r="F16" s="35">
        <v>0</v>
      </c>
      <c r="G16" s="33">
        <v>5</v>
      </c>
      <c r="H16" s="36">
        <v>3</v>
      </c>
      <c r="I16" s="36">
        <v>1007</v>
      </c>
      <c r="J16" s="37">
        <v>81</v>
      </c>
      <c r="K16" s="33" t="s">
        <v>18</v>
      </c>
      <c r="L16" s="36" t="s">
        <v>18</v>
      </c>
      <c r="M16" s="36" t="s">
        <v>18</v>
      </c>
      <c r="N16" s="36">
        <v>5</v>
      </c>
      <c r="O16" s="37">
        <v>0</v>
      </c>
    </row>
    <row r="17" spans="1:21" s="44" customFormat="1" x14ac:dyDescent="0.3">
      <c r="A17" s="38"/>
      <c r="B17" s="38"/>
      <c r="C17" s="39" t="s">
        <v>33</v>
      </c>
      <c r="D17" s="40">
        <f>SUM(D4:D16)</f>
        <v>216.97</v>
      </c>
      <c r="E17" s="41">
        <v>1.3</v>
      </c>
      <c r="F17" s="40">
        <f t="shared" ref="F17:K17" si="0">SUM(F4:F16)</f>
        <v>6</v>
      </c>
      <c r="G17" s="40">
        <f t="shared" si="0"/>
        <v>113</v>
      </c>
      <c r="H17" s="40">
        <f t="shared" si="0"/>
        <v>103</v>
      </c>
      <c r="I17" s="40">
        <f t="shared" si="0"/>
        <v>12612</v>
      </c>
      <c r="J17" s="40">
        <f t="shared" si="0"/>
        <v>1444</v>
      </c>
      <c r="K17" s="40">
        <f t="shared" si="0"/>
        <v>15</v>
      </c>
      <c r="L17" s="40">
        <v>1.4999999999999999E-2</v>
      </c>
      <c r="M17" s="42">
        <v>1</v>
      </c>
      <c r="N17" s="40">
        <f>SUM(N4:N16)</f>
        <v>51</v>
      </c>
      <c r="O17" s="40">
        <f>SUM(O4:O16)</f>
        <v>23</v>
      </c>
      <c r="P17" s="39"/>
      <c r="Q17" s="43"/>
      <c r="R17" s="43"/>
      <c r="S17" s="43"/>
      <c r="T17" s="43"/>
      <c r="U17" s="43"/>
    </row>
    <row r="18" spans="1:21" s="45" customFormat="1" x14ac:dyDescent="0.3">
      <c r="C18" s="46" t="s">
        <v>34</v>
      </c>
      <c r="D18" s="46">
        <v>272</v>
      </c>
      <c r="E18" s="47">
        <v>2</v>
      </c>
      <c r="F18" s="48">
        <v>13</v>
      </c>
      <c r="G18" s="46">
        <v>150</v>
      </c>
      <c r="H18" s="46">
        <v>60</v>
      </c>
      <c r="I18" s="49">
        <v>12000</v>
      </c>
      <c r="J18" s="46">
        <v>150</v>
      </c>
      <c r="K18" s="46">
        <v>6</v>
      </c>
      <c r="L18" s="50">
        <v>1.4999999999999999E-2</v>
      </c>
      <c r="M18" s="51">
        <v>1</v>
      </c>
      <c r="N18" s="46">
        <v>20</v>
      </c>
      <c r="O18" s="46">
        <v>30</v>
      </c>
      <c r="P18" s="46"/>
      <c r="Q18" s="53"/>
      <c r="R18" s="53"/>
      <c r="S18" s="53"/>
      <c r="T18" s="53"/>
      <c r="U18" s="53"/>
    </row>
    <row r="19" spans="1:21" s="45" customFormat="1" x14ac:dyDescent="0.3">
      <c r="C19" s="46" t="s">
        <v>35</v>
      </c>
      <c r="D19" s="54">
        <f>D18/13</f>
        <v>20.923076923076923</v>
      </c>
      <c r="E19" s="54">
        <v>2</v>
      </c>
      <c r="F19" s="54">
        <v>1</v>
      </c>
      <c r="G19" s="54">
        <f>G18/13</f>
        <v>11.538461538461538</v>
      </c>
      <c r="H19" s="54">
        <f>H18/13</f>
        <v>4.615384615384615</v>
      </c>
      <c r="I19" s="54">
        <f>I18/13</f>
        <v>923.07692307692309</v>
      </c>
      <c r="J19" s="54">
        <f>J18/13</f>
        <v>11.538461538461538</v>
      </c>
      <c r="K19" s="54"/>
      <c r="L19" s="54"/>
      <c r="M19" s="54"/>
      <c r="N19" s="54">
        <f>N18/13</f>
        <v>1.5384615384615385</v>
      </c>
      <c r="O19" s="54">
        <f>O18/13</f>
        <v>2.3076923076923075</v>
      </c>
      <c r="P19" s="52"/>
      <c r="Q19" s="53"/>
      <c r="R19" s="53"/>
      <c r="S19" s="53"/>
      <c r="T19" s="53"/>
      <c r="U19" s="53"/>
    </row>
    <row r="21" spans="1:21" ht="18" hidden="1" customHeight="1" x14ac:dyDescent="0.35">
      <c r="C21" s="55"/>
      <c r="D21" s="56" t="s">
        <v>36</v>
      </c>
    </row>
    <row r="22" spans="1:21" ht="18" hidden="1" customHeight="1" x14ac:dyDescent="0.35">
      <c r="D22" s="60" t="s">
        <v>37</v>
      </c>
    </row>
    <row r="23" spans="1:21" ht="21" hidden="1" customHeight="1" x14ac:dyDescent="0.4">
      <c r="D23" s="61" t="s">
        <v>38</v>
      </c>
    </row>
    <row r="24" spans="1:21" hidden="1" x14ac:dyDescent="0.3">
      <c r="C24" s="62"/>
    </row>
  </sheetData>
  <mergeCells count="7">
    <mergeCell ref="C1:O1"/>
    <mergeCell ref="D2:F2"/>
    <mergeCell ref="B8:B11"/>
    <mergeCell ref="B4:B7"/>
    <mergeCell ref="K2:O2"/>
    <mergeCell ref="B12:B16"/>
    <mergeCell ref="G2:J2"/>
  </mergeCells>
  <conditionalFormatting sqref="D4:D16">
    <cfRule type="colorScale" priority="2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8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217">
      <colorScale>
        <cfvo type="formula" val="&quot;lowest()&quot;"/>
        <cfvo type="num" val="$E$18/2"/>
        <cfvo type="formula" val="$E$18"/>
        <color rgb="FFFF0000"/>
        <color rgb="FFFFFF00"/>
        <color rgb="FF00B050"/>
      </colorScale>
    </cfRule>
  </conditionalFormatting>
  <conditionalFormatting sqref="F4:F16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0">
      <colorScale>
        <cfvo type="num" val="0"/>
        <cfvo type="num" val="0.5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2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2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2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26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6:L6"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M4"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7:M16"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L5 M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6 K5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N4:N16">
    <cfRule type="colorScale" priority="227">
      <colorScale>
        <cfvo type="min"/>
        <cfvo type="formula" val="$N$19/2"/>
        <cfvo type="formula" val="$N$19"/>
        <color rgb="FFFF0000"/>
        <color rgb="FFFFFF00"/>
        <color rgb="FF00B050"/>
      </colorScale>
    </cfRule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229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2026-04-09T14:38:34Z</dcterms:modified>
</cp:coreProperties>
</file>