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F609D86-5C48-4903-8E61-6AB3AC08EE46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<sst xmlns="http://schemas.openxmlformats.org/spreadsheetml/2006/main" count="42" uniqueCount="40">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</sst>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9" xfId="0" applyFont="1" applyBorder="1" applyAlignment="1">
      <alignment horizontal="left" vertical="top"/>
    </xf>
    <xf numFmtId="0" fontId="3" fillId="0" borderId="10" xfId="0" applyFont="1" applyBorder="1" applyAlignment="1">
      <alignment horizontal="center" textRotation="90" wrapText="1" readingOrder="1"/>
    </xf>
    <xf numFmtId="0" fontId="3" fillId="0" borderId="11" xfId="0" applyFont="1" applyBorder="1" applyAlignment="1">
      <alignment horizontal="center" textRotation="90" wrapText="1" readingOrder="1"/>
    </xf>
    <xf numFmtId="0" fontId="3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16" xfId="2" applyNumberFormat="1" applyFont="1" applyBorder="1" applyAlignment="1">
      <alignment horizontal="right" indent="1"/>
    </xf>
    <xf numFmtId="9" fontId="2" fillId="0" borderId="16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8" xfId="1" applyNumberFormat="1" applyFont="1" applyBorder="1" applyAlignment="1">
      <alignment horizontal="right"/>
    </xf>
    <xf numFmtId="1" fontId="2" fillId="0" borderId="8" xfId="0" applyNumberFormat="1" applyFont="1" applyBorder="1" applyAlignment="1">
      <alignment horizontal="right"/>
    </xf>
    <xf numFmtId="1" fontId="2" fillId="0" borderId="16" xfId="1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8" xfId="1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7" fontId="2" fillId="0" borderId="8" xfId="1" applyNumberFormat="1" applyFont="1" applyBorder="1" applyAlignment="1">
      <alignment horizontal="right"/>
    </xf>
    <xf numFmtId="167" fontId="2" fillId="0" borderId="16" xfId="1" applyNumberFormat="1" applyFont="1" applyBorder="1" applyAlignment="1">
      <alignment horizontal="right"/>
    </xf>
    <xf numFmtId="167" fontId="2" fillId="0" borderId="18" xfId="1" applyNumberFormat="1" applyFont="1" applyBorder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22" xfId="0" applyFont="1" applyBorder="1" applyAlignment="1">
      <alignment horizontal="center"/>
    </xf>
    <xf numFmtId="1" fontId="5" fillId="3" borderId="23" xfId="0" applyNumberFormat="1" applyFont="1" applyFill="1" applyBorder="1" applyAlignment="1">
      <alignment horizontal="right"/>
    </xf>
    <xf numFmtId="167" fontId="5" fillId="3" borderId="23" xfId="1" applyNumberFormat="1" applyFont="1" applyFill="1" applyBorder="1" applyAlignment="1">
      <alignment horizontal="right"/>
    </xf>
    <xf numFmtId="0" fontId="5" fillId="2" borderId="7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1" fontId="2" fillId="0" borderId="28" xfId="0" applyNumberFormat="1" applyFont="1" applyBorder="1" applyAlignment="1">
      <alignment horizontal="right"/>
    </xf>
    <xf numFmtId="1" fontId="2" fillId="0" borderId="29" xfId="1" applyNumberFormat="1" applyFont="1" applyBorder="1" applyAlignment="1">
      <alignment horizontal="right"/>
    </xf>
    <xf numFmtId="1" fontId="2" fillId="0" borderId="30" xfId="2" applyNumberFormat="1" applyFont="1" applyBorder="1" applyAlignment="1">
      <alignment horizontal="right"/>
    </xf>
    <xf numFmtId="1" fontId="2" fillId="0" borderId="31" xfId="0" applyNumberFormat="1" applyFont="1" applyBorder="1" applyAlignment="1">
      <alignment horizontal="right"/>
    </xf>
    <xf numFmtId="1" fontId="2" fillId="0" borderId="32" xfId="2" applyNumberFormat="1" applyFont="1" applyBorder="1" applyAlignment="1">
      <alignment horizontal="right"/>
    </xf>
    <xf numFmtId="1" fontId="2" fillId="0" borderId="33" xfId="0" applyNumberFormat="1" applyFont="1" applyBorder="1" applyAlignment="1">
      <alignment horizontal="right"/>
    </xf>
    <xf numFmtId="1" fontId="2" fillId="0" borderId="34" xfId="2" applyNumberFormat="1" applyFont="1" applyBorder="1" applyAlignment="1">
      <alignment horizontal="right"/>
    </xf>
    <xf numFmtId="1" fontId="2" fillId="0" borderId="35" xfId="0" applyNumberFormat="1" applyFont="1" applyBorder="1" applyAlignment="1">
      <alignment horizontal="right"/>
    </xf>
    <xf numFmtId="1" fontId="2" fillId="0" borderId="36" xfId="2" applyNumberFormat="1" applyFont="1" applyBorder="1" applyAlignment="1">
      <alignment horizontal="right"/>
    </xf>
    <xf numFmtId="1" fontId="2" fillId="0" borderId="37" xfId="0" applyNumberFormat="1" applyFont="1" applyBorder="1" applyAlignment="1">
      <alignment horizontal="right"/>
    </xf>
    <xf numFmtId="1" fontId="2" fillId="0" borderId="38" xfId="1" applyNumberFormat="1" applyFont="1" applyBorder="1" applyAlignment="1">
      <alignment horizontal="right"/>
    </xf>
    <xf numFmtId="1" fontId="2" fillId="0" borderId="39" xfId="2" applyNumberFormat="1" applyFont="1" applyBorder="1" applyAlignment="1">
      <alignment horizontal="right"/>
    </xf>
    <xf numFmtId="1" fontId="2" fillId="0" borderId="29" xfId="0" applyNumberFormat="1" applyFont="1" applyBorder="1" applyAlignment="1">
      <alignment horizontal="right"/>
    </xf>
    <xf numFmtId="167" fontId="2" fillId="0" borderId="29" xfId="1" applyNumberFormat="1" applyFont="1" applyBorder="1" applyAlignment="1">
      <alignment horizontal="right"/>
    </xf>
    <xf numFmtId="167" fontId="2" fillId="0" borderId="30" xfId="1" applyNumberFormat="1" applyFont="1" applyBorder="1" applyAlignment="1">
      <alignment horizontal="right"/>
    </xf>
    <xf numFmtId="167" fontId="2" fillId="0" borderId="32" xfId="1" applyNumberFormat="1" applyFont="1" applyBorder="1" applyAlignment="1">
      <alignment horizontal="right"/>
    </xf>
    <xf numFmtId="167" fontId="2" fillId="0" borderId="34" xfId="1" applyNumberFormat="1" applyFont="1" applyBorder="1" applyAlignment="1">
      <alignment horizontal="right"/>
    </xf>
    <xf numFmtId="167" fontId="2" fillId="0" borderId="36" xfId="1" applyNumberFormat="1" applyFont="1" applyBorder="1" applyAlignment="1">
      <alignment horizontal="right"/>
    </xf>
    <xf numFmtId="1" fontId="2" fillId="0" borderId="38" xfId="0" applyNumberFormat="1" applyFont="1" applyBorder="1" applyAlignment="1">
      <alignment horizontal="right"/>
    </xf>
    <xf numFmtId="167" fontId="2" fillId="0" borderId="38" xfId="1" applyNumberFormat="1" applyFont="1" applyBorder="1" applyAlignment="1">
      <alignment horizontal="right"/>
    </xf>
    <xf numFmtId="167" fontId="2" fillId="0" borderId="39" xfId="1" applyNumberFormat="1" applyFont="1" applyBorder="1" applyAlignment="1">
      <alignment horizontal="right"/>
    </xf>
    <xf numFmtId="1" fontId="2" fillId="0" borderId="30" xfId="0" applyNumberFormat="1" applyFont="1" applyBorder="1" applyAlignment="1">
      <alignment horizontal="right"/>
    </xf>
    <xf numFmtId="1" fontId="2" fillId="0" borderId="32" xfId="0" applyNumberFormat="1" applyFont="1" applyBorder="1" applyAlignment="1">
      <alignment horizontal="right"/>
    </xf>
    <xf numFmtId="1" fontId="2" fillId="0" borderId="34" xfId="0" applyNumberFormat="1" applyFont="1" applyBorder="1" applyAlignment="1">
      <alignment horizontal="right"/>
    </xf>
    <xf numFmtId="1" fontId="2" fillId="0" borderId="36" xfId="0" applyNumberFormat="1" applyFont="1" applyBorder="1" applyAlignment="1">
      <alignment horizontal="right"/>
    </xf>
    <xf numFmtId="1" fontId="2" fillId="0" borderId="39" xfId="0" applyNumberFormat="1" applyFont="1" applyBorder="1" applyAlignment="1">
      <alignment horizontal="right"/>
    </xf>
    <xf numFmtId="0" fontId="5" fillId="3" borderId="40" xfId="0" applyFont="1" applyFill="1" applyBorder="1"/>
    <xf numFmtId="1" fontId="5" fillId="3" borderId="41" xfId="0" applyNumberFormat="1" applyFont="1" applyFill="1" applyBorder="1" applyAlignment="1">
      <alignment horizontal="right"/>
    </xf>
    <xf numFmtId="1" fontId="5" fillId="3" borderId="41" xfId="1" applyNumberFormat="1" applyFont="1" applyFill="1" applyBorder="1" applyAlignment="1">
      <alignment horizontal="right"/>
    </xf>
    <xf numFmtId="1" fontId="5" fillId="3" borderId="41" xfId="2" applyNumberFormat="1" applyFont="1" applyFill="1" applyBorder="1" applyAlignment="1">
      <alignment horizontal="right"/>
    </xf>
    <xf numFmtId="167" fontId="5" fillId="3" borderId="41" xfId="1" applyNumberFormat="1" applyFont="1" applyFill="1" applyBorder="1" applyAlignment="1">
      <alignment horizontal="right"/>
    </xf>
    <xf numFmtId="1" fontId="5" fillId="3" borderId="42" xfId="0" applyNumberFormat="1" applyFont="1" applyFill="1" applyBorder="1" applyAlignment="1">
      <alignment horizontal="right"/>
    </xf>
    <xf numFmtId="0" fontId="5" fillId="3" borderId="43" xfId="0" applyFont="1" applyFill="1" applyBorder="1"/>
    <xf numFmtId="1" fontId="5" fillId="3" borderId="0" xfId="1" applyNumberFormat="1" applyFont="1" applyFill="1" applyBorder="1" applyAlignment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1" fontId="5" fillId="3" borderId="44" xfId="1" applyNumberFormat="1" applyFont="1" applyFill="1" applyBorder="1" applyAlignment="1">
      <alignment horizontal="right"/>
    </xf>
    <xf numFmtId="0" fontId="5" fillId="3" borderId="45" xfId="0" applyFont="1" applyFill="1" applyBorder="1"/>
    <xf numFmtId="1" fontId="5" fillId="3" borderId="46" xfId="0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24" xfId="0" applyFont="1" applyBorder="1" applyAlignment="1">
      <alignment horizontal="center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13" xfId="0" applyFont="1" applyFill="1" applyBorder="1" applyAlignment="1">
      <alignment horizontal="center" vertical="center" textRotation="90" wrapText="1"/>
    </xf>
    <xf numFmtId="0" fontId="5" fillId="2" borderId="20" xfId="0" applyFont="1" applyFill="1" applyBorder="1" applyAlignment="1">
      <alignment horizontal="center" vertical="center" textRotation="90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5" fillId="2" borderId="15" xfId="0" applyFont="1" applyFill="1" applyBorder="1" applyAlignment="1">
      <alignment horizontal="center" vertical="center" textRotation="90" wrapText="1"/>
    </xf>
    <xf numFmtId="0" fontId="5" fillId="2" borderId="17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S16" sqref="S16"/>
    </sheetView>
  </sheetViews>
  <sheetFormatPr defaultRowHeight="14.4" x14ac:dyDescent="0.3"/>
  <cols>
    <col min="1" max="1" width="8.77734375" customWidth="1"/>
    <col min="2" max="2" width="33.33203125" style="14" customWidth="1"/>
    <col min="3" max="3" width="8" style="1" customWidth="1"/>
    <col min="4" max="4" width="8" style="12" customWidth="1"/>
    <col min="5" max="5" width="8" style="13" customWidth="1"/>
    <col min="6" max="14" width="8" style="1" customWidth="1"/>
    <col min="15" max="15" width="8.21875" style="2" customWidth="1"/>
  </cols>
  <sheetData>
    <row r="1" spans="1:15" s="9" customFormat="1" ht="12.6" thickBot="1" x14ac:dyDescent="0.3">
      <c r="A1" s="98"/>
      <c r="B1" s="87" t="s">
        <v>0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9"/>
      <c r="O1" s="8"/>
    </row>
    <row r="2" spans="1:15" s="41" customFormat="1" ht="24.6" customHeight="1" thickBot="1" x14ac:dyDescent="0.35">
      <c r="A2" s="98"/>
      <c r="B2" s="39" t="s">
        <v>38</v>
      </c>
      <c r="C2" s="90" t="s">
        <v>1</v>
      </c>
      <c r="D2" s="91"/>
      <c r="E2" s="92"/>
      <c r="F2" s="93" t="s">
        <v>2</v>
      </c>
      <c r="G2" s="94"/>
      <c r="H2" s="94"/>
      <c r="I2" s="95"/>
      <c r="J2" s="93" t="s">
        <v>3</v>
      </c>
      <c r="K2" s="94"/>
      <c r="L2" s="94"/>
      <c r="M2" s="94"/>
      <c r="N2" s="95"/>
      <c r="O2" s="40"/>
    </row>
    <row r="3" spans="1:15" s="9" customFormat="1" ht="99.6" customHeight="1" thickBot="1" x14ac:dyDescent="0.3">
      <c r="A3" s="98"/>
      <c r="B3" s="3"/>
      <c r="C3" s="4" t="s">
        <v>25</v>
      </c>
      <c r="D3" s="5" t="s">
        <v>26</v>
      </c>
      <c r="E3" s="6" t="s">
        <v>27</v>
      </c>
      <c r="F3" s="4" t="s">
        <v>28</v>
      </c>
      <c r="G3" s="5" t="s">
        <v>29</v>
      </c>
      <c r="H3" s="5" t="s">
        <v>30</v>
      </c>
      <c r="I3" s="6" t="s">
        <v>31</v>
      </c>
      <c r="J3" s="4" t="s">
        <v>4</v>
      </c>
      <c r="K3" s="7" t="s">
        <v>5</v>
      </c>
      <c r="L3" s="7" t="s">
        <v>32</v>
      </c>
      <c r="M3" s="5" t="s">
        <v>33</v>
      </c>
      <c r="N3" s="6" t="s">
        <v>34</v>
      </c>
      <c r="O3" s="8"/>
    </row>
    <row r="4" spans="1:15" s="9" customFormat="1" ht="15.6" customHeight="1" x14ac:dyDescent="0.25">
      <c r="A4" s="102" t="s">
        <v>35</v>
      </c>
      <c r="B4" s="42" t="s">
        <v>39</v>
      </c>
      <c r="C4" s="45">
        <v>21.95</v>
      </c>
      <c r="D4" s="46">
        <v>3.1357142857142857</v>
      </c>
      <c r="E4" s="47">
        <v>1</v>
      </c>
      <c r="F4" s="45">
        <v>1</v>
      </c>
      <c r="G4" s="57">
        <v>1</v>
      </c>
      <c r="H4" s="58">
        <v>68</v>
      </c>
      <c r="I4" s="59">
        <v>184</v>
      </c>
      <c r="J4" s="45">
        <v>0</v>
      </c>
      <c r="K4" s="57">
        <v>0</v>
      </c>
      <c r="L4" s="57">
        <v>0</v>
      </c>
      <c r="M4" s="57">
        <v>1</v>
      </c>
      <c r="N4" s="66">
        <v>0</v>
      </c>
      <c r="O4" s="8"/>
    </row>
    <row r="5" spans="1:15" s="9" customFormat="1" ht="15.6" customHeight="1" x14ac:dyDescent="0.25">
      <c r="A5" s="103"/>
      <c r="B5" s="43" t="s">
        <v>7</v>
      </c>
      <c r="C5" s="48">
        <v>51.45</v>
      </c>
      <c r="D5" s="25">
        <v>2.2369565217391307</v>
      </c>
      <c r="E5" s="49">
        <v>0</v>
      </c>
      <c r="F5" s="48">
        <v>24</v>
      </c>
      <c r="G5" s="26">
        <v>28</v>
      </c>
      <c r="H5" s="30">
        <v>108</v>
      </c>
      <c r="I5" s="60">
        <v>214</v>
      </c>
      <c r="J5" s="48">
        <v>15</v>
      </c>
      <c r="K5" s="18">
        <v>1.4999999999999999E-2</v>
      </c>
      <c r="L5" s="26">
        <v>0</v>
      </c>
      <c r="M5" s="26">
        <v>8</v>
      </c>
      <c r="N5" s="67">
        <v>5</v>
      </c>
      <c r="O5" s="8"/>
    </row>
    <row r="6" spans="1:15" s="9" customFormat="1" ht="15.6" customHeight="1" x14ac:dyDescent="0.25">
      <c r="A6" s="103"/>
      <c r="B6" s="43" t="s">
        <v>8</v>
      </c>
      <c r="C6" s="48">
        <v>5</v>
      </c>
      <c r="D6" s="25">
        <v>1.25</v>
      </c>
      <c r="E6" s="49">
        <v>0</v>
      </c>
      <c r="F6" s="48">
        <v>26</v>
      </c>
      <c r="G6" s="26">
        <v>19</v>
      </c>
      <c r="H6" s="30">
        <v>5</v>
      </c>
      <c r="I6" s="60">
        <v>113</v>
      </c>
      <c r="J6" s="48">
        <v>0</v>
      </c>
      <c r="K6" s="26">
        <v>0</v>
      </c>
      <c r="L6" s="19">
        <v>1</v>
      </c>
      <c r="M6" s="26">
        <v>0</v>
      </c>
      <c r="N6" s="67">
        <v>0</v>
      </c>
      <c r="O6" s="8"/>
    </row>
    <row r="7" spans="1:15" s="9" customFormat="1" ht="21.6" customHeight="1" thickBot="1" x14ac:dyDescent="0.3">
      <c r="A7" s="104"/>
      <c r="B7" s="44" t="s">
        <v>9</v>
      </c>
      <c r="C7" s="50">
        <v>15.4</v>
      </c>
      <c r="D7" s="27">
        <v>1.0266666666666666</v>
      </c>
      <c r="E7" s="51">
        <v>0</v>
      </c>
      <c r="F7" s="50">
        <v>5</v>
      </c>
      <c r="G7" s="28">
        <v>7</v>
      </c>
      <c r="H7" s="31">
        <v>2247</v>
      </c>
      <c r="I7" s="61">
        <v>309</v>
      </c>
      <c r="J7" s="48">
        <v>0</v>
      </c>
      <c r="K7" s="26">
        <v>0</v>
      </c>
      <c r="L7" s="26">
        <v>0</v>
      </c>
      <c r="M7" s="28">
        <v>17</v>
      </c>
      <c r="N7" s="68">
        <v>2</v>
      </c>
      <c r="O7" s="8"/>
    </row>
    <row r="8" spans="1:15" s="9" customFormat="1" ht="15.6" customHeight="1" x14ac:dyDescent="0.25">
      <c r="A8" s="102" t="s">
        <v>36</v>
      </c>
      <c r="B8" s="42" t="s">
        <v>10</v>
      </c>
      <c r="C8" s="52">
        <v>41.45</v>
      </c>
      <c r="D8" s="23">
        <v>3.4541666666666671</v>
      </c>
      <c r="E8" s="53">
        <v>1</v>
      </c>
      <c r="F8" s="52">
        <v>9</v>
      </c>
      <c r="G8" s="24">
        <v>9</v>
      </c>
      <c r="H8" s="29">
        <v>102</v>
      </c>
      <c r="I8" s="62">
        <v>10</v>
      </c>
      <c r="J8" s="48">
        <v>0</v>
      </c>
      <c r="K8" s="26">
        <v>0</v>
      </c>
      <c r="L8" s="26">
        <v>0</v>
      </c>
      <c r="M8" s="24">
        <v>6</v>
      </c>
      <c r="N8" s="69">
        <v>2</v>
      </c>
      <c r="O8" s="8"/>
    </row>
    <row r="9" spans="1:15" s="9" customFormat="1" ht="15.6" customHeight="1" x14ac:dyDescent="0.25">
      <c r="A9" s="103"/>
      <c r="B9" s="43" t="s">
        <v>11</v>
      </c>
      <c r="C9" s="48">
        <v>20.87</v>
      </c>
      <c r="D9" s="25">
        <v>1.0435000000000001</v>
      </c>
      <c r="E9" s="49">
        <v>1</v>
      </c>
      <c r="F9" s="48">
        <v>22</v>
      </c>
      <c r="G9" s="26">
        <v>14</v>
      </c>
      <c r="H9" s="30">
        <v>3185</v>
      </c>
      <c r="I9" s="60">
        <v>233</v>
      </c>
      <c r="J9" s="48">
        <v>0</v>
      </c>
      <c r="K9" s="26">
        <v>0</v>
      </c>
      <c r="L9" s="26">
        <v>0</v>
      </c>
      <c r="M9" s="26">
        <v>1</v>
      </c>
      <c r="N9" s="67">
        <v>9</v>
      </c>
      <c r="O9" s="8"/>
    </row>
    <row r="10" spans="1:15" s="9" customFormat="1" ht="15.6" customHeight="1" x14ac:dyDescent="0.25">
      <c r="A10" s="103"/>
      <c r="B10" s="43" t="s">
        <v>23</v>
      </c>
      <c r="C10" s="48">
        <v>15.5</v>
      </c>
      <c r="D10" s="25">
        <v>2.2142857142857144</v>
      </c>
      <c r="E10" s="49">
        <v>2</v>
      </c>
      <c r="F10" s="48">
        <v>7</v>
      </c>
      <c r="G10" s="26">
        <v>3</v>
      </c>
      <c r="H10" s="30">
        <v>3754</v>
      </c>
      <c r="I10" s="60">
        <v>20</v>
      </c>
      <c r="J10" s="48">
        <v>0</v>
      </c>
      <c r="K10" s="26">
        <v>0</v>
      </c>
      <c r="L10" s="26">
        <v>0</v>
      </c>
      <c r="M10" s="26">
        <v>10</v>
      </c>
      <c r="N10" s="67">
        <v>2</v>
      </c>
      <c r="O10" s="8"/>
    </row>
    <row r="11" spans="1:15" s="9" customFormat="1" ht="15.6" customHeight="1" thickBot="1" x14ac:dyDescent="0.3">
      <c r="A11" s="104"/>
      <c r="B11" s="44" t="s">
        <v>12</v>
      </c>
      <c r="C11" s="50">
        <v>0</v>
      </c>
      <c r="D11" s="27">
        <v>0</v>
      </c>
      <c r="E11" s="51">
        <v>0</v>
      </c>
      <c r="F11" s="50">
        <v>2</v>
      </c>
      <c r="G11" s="28">
        <v>1</v>
      </c>
      <c r="H11" s="31">
        <v>0</v>
      </c>
      <c r="I11" s="61">
        <v>0</v>
      </c>
      <c r="J11" s="48">
        <v>0</v>
      </c>
      <c r="K11" s="26">
        <v>0</v>
      </c>
      <c r="L11" s="26">
        <v>0</v>
      </c>
      <c r="M11" s="28">
        <v>3</v>
      </c>
      <c r="N11" s="68">
        <v>3</v>
      </c>
      <c r="O11" s="8"/>
    </row>
    <row r="12" spans="1:15" s="9" customFormat="1" ht="15.6" customHeight="1" x14ac:dyDescent="0.25">
      <c r="A12" s="99" t="s">
        <v>37</v>
      </c>
      <c r="B12" s="42" t="s">
        <v>19</v>
      </c>
      <c r="C12" s="52">
        <v>9.92</v>
      </c>
      <c r="D12" s="23">
        <v>0.90181818181818185</v>
      </c>
      <c r="E12" s="53">
        <v>0</v>
      </c>
      <c r="F12" s="52">
        <v>5</v>
      </c>
      <c r="G12" s="24">
        <v>5</v>
      </c>
      <c r="H12" s="29">
        <v>94</v>
      </c>
      <c r="I12" s="62">
        <v>109</v>
      </c>
      <c r="J12" s="48">
        <v>0</v>
      </c>
      <c r="K12" s="26">
        <v>0</v>
      </c>
      <c r="L12" s="26">
        <v>0</v>
      </c>
      <c r="M12" s="24">
        <v>0</v>
      </c>
      <c r="N12" s="69">
        <v>0</v>
      </c>
      <c r="O12" s="8"/>
    </row>
    <row r="13" spans="1:15" s="9" customFormat="1" ht="15.6" customHeight="1" x14ac:dyDescent="0.25">
      <c r="A13" s="100"/>
      <c r="B13" s="43" t="s">
        <v>20</v>
      </c>
      <c r="C13" s="48">
        <v>6.6</v>
      </c>
      <c r="D13" s="25">
        <v>0.6</v>
      </c>
      <c r="E13" s="49">
        <v>0</v>
      </c>
      <c r="F13" s="48">
        <v>4</v>
      </c>
      <c r="G13" s="26">
        <v>3</v>
      </c>
      <c r="H13" s="30">
        <v>1912</v>
      </c>
      <c r="I13" s="60">
        <v>156</v>
      </c>
      <c r="J13" s="48">
        <v>0</v>
      </c>
      <c r="K13" s="26">
        <v>0</v>
      </c>
      <c r="L13" s="26">
        <v>0</v>
      </c>
      <c r="M13" s="26">
        <v>0</v>
      </c>
      <c r="N13" s="67">
        <v>0</v>
      </c>
      <c r="O13" s="8"/>
    </row>
    <row r="14" spans="1:15" s="9" customFormat="1" ht="15.6" customHeight="1" x14ac:dyDescent="0.25">
      <c r="A14" s="100"/>
      <c r="B14" s="43" t="s">
        <v>21</v>
      </c>
      <c r="C14" s="48">
        <v>13.33</v>
      </c>
      <c r="D14" s="25">
        <v>2.6659999999999999</v>
      </c>
      <c r="E14" s="49">
        <v>1</v>
      </c>
      <c r="F14" s="48">
        <v>1</v>
      </c>
      <c r="G14" s="26">
        <v>2</v>
      </c>
      <c r="H14" s="30">
        <v>0</v>
      </c>
      <c r="I14" s="60">
        <v>0</v>
      </c>
      <c r="J14" s="48">
        <v>0</v>
      </c>
      <c r="K14" s="26">
        <v>0</v>
      </c>
      <c r="L14" s="26">
        <v>0</v>
      </c>
      <c r="M14" s="26">
        <v>0</v>
      </c>
      <c r="N14" s="67">
        <v>0</v>
      </c>
      <c r="O14" s="8"/>
    </row>
    <row r="15" spans="1:15" s="9" customFormat="1" ht="15.6" customHeight="1" x14ac:dyDescent="0.25">
      <c r="A15" s="100"/>
      <c r="B15" s="43" t="s">
        <v>22</v>
      </c>
      <c r="C15" s="48">
        <v>12.5</v>
      </c>
      <c r="D15" s="25">
        <v>3.125</v>
      </c>
      <c r="E15" s="49">
        <v>0</v>
      </c>
      <c r="F15" s="48">
        <v>2</v>
      </c>
      <c r="G15" s="26">
        <v>8</v>
      </c>
      <c r="H15" s="30">
        <v>130</v>
      </c>
      <c r="I15" s="60">
        <v>15</v>
      </c>
      <c r="J15" s="48">
        <v>0</v>
      </c>
      <c r="K15" s="26">
        <v>0</v>
      </c>
      <c r="L15" s="26">
        <v>0</v>
      </c>
      <c r="M15" s="26">
        <v>0</v>
      </c>
      <c r="N15" s="67">
        <v>0</v>
      </c>
      <c r="O15" s="8"/>
    </row>
    <row r="16" spans="1:15" s="9" customFormat="1" ht="15.45" customHeight="1" thickBot="1" x14ac:dyDescent="0.3">
      <c r="A16" s="101"/>
      <c r="B16" s="44" t="s">
        <v>24</v>
      </c>
      <c r="C16" s="54">
        <v>3</v>
      </c>
      <c r="D16" s="55">
        <v>0.3</v>
      </c>
      <c r="E16" s="56">
        <v>0</v>
      </c>
      <c r="F16" s="54">
        <v>5</v>
      </c>
      <c r="G16" s="63">
        <v>3</v>
      </c>
      <c r="H16" s="64">
        <v>1007</v>
      </c>
      <c r="I16" s="65">
        <v>81</v>
      </c>
      <c r="J16" s="54">
        <v>0</v>
      </c>
      <c r="K16" s="63">
        <v>0</v>
      </c>
      <c r="L16" s="63">
        <v>0</v>
      </c>
      <c r="M16" s="63">
        <v>5</v>
      </c>
      <c r="N16" s="70">
        <v>0</v>
      </c>
      <c r="O16" s="8"/>
    </row>
    <row r="17" spans="1:15" s="33" customFormat="1" ht="14.4" customHeight="1" x14ac:dyDescent="0.25">
      <c r="A17" s="96"/>
      <c r="B17" s="71" t="s">
        <v>14</v>
      </c>
      <c r="C17" s="72">
        <v>272</v>
      </c>
      <c r="D17" s="73">
        <v>2</v>
      </c>
      <c r="E17" s="74">
        <v>13</v>
      </c>
      <c r="F17" s="72">
        <v>150</v>
      </c>
      <c r="G17" s="72">
        <v>60</v>
      </c>
      <c r="H17" s="75">
        <v>12000</v>
      </c>
      <c r="I17" s="75">
        <v>150</v>
      </c>
      <c r="J17" s="72">
        <v>6</v>
      </c>
      <c r="K17" s="74">
        <v>1.4999999999999999E-2</v>
      </c>
      <c r="L17" s="72">
        <v>1</v>
      </c>
      <c r="M17" s="72">
        <v>20</v>
      </c>
      <c r="N17" s="76">
        <v>30</v>
      </c>
      <c r="O17" s="32"/>
    </row>
    <row r="18" spans="1:15" s="35" customFormat="1" ht="14.4" customHeight="1" x14ac:dyDescent="0.25">
      <c r="A18" s="97"/>
      <c r="B18" s="77" t="s">
        <v>13</v>
      </c>
      <c r="C18" s="78">
        <f>SUM(C4:C16)</f>
        <v>216.97</v>
      </c>
      <c r="D18" s="79">
        <f>AVERAGE(D4:D16)</f>
        <v>1.6887775412992805</v>
      </c>
      <c r="E18" s="80">
        <f t="shared" ref="E18:N18" si="0">SUM(E4:E16)</f>
        <v>6</v>
      </c>
      <c r="F18" s="80">
        <f t="shared" si="0"/>
        <v>113</v>
      </c>
      <c r="G18" s="80">
        <f t="shared" si="0"/>
        <v>103</v>
      </c>
      <c r="H18" s="81">
        <f t="shared" si="0"/>
        <v>12612</v>
      </c>
      <c r="I18" s="81">
        <f t="shared" si="0"/>
        <v>1444</v>
      </c>
      <c r="J18" s="80">
        <f t="shared" si="0"/>
        <v>15</v>
      </c>
      <c r="K18" s="82">
        <f t="shared" si="0"/>
        <v>1.4999999999999999E-2</v>
      </c>
      <c r="L18" s="83">
        <f t="shared" si="0"/>
        <v>1</v>
      </c>
      <c r="M18" s="80">
        <f t="shared" si="0"/>
        <v>51</v>
      </c>
      <c r="N18" s="84">
        <f t="shared" si="0"/>
        <v>23</v>
      </c>
      <c r="O18" s="34"/>
    </row>
    <row r="19" spans="1:15" s="33" customFormat="1" ht="14.4" customHeight="1" thickBot="1" x14ac:dyDescent="0.3">
      <c r="A19" s="97"/>
      <c r="B19" s="85" t="s">
        <v>18</v>
      </c>
      <c r="C19" s="37">
        <f>C17/13</f>
        <v>20.923076923076923</v>
      </c>
      <c r="D19" s="37">
        <v>2</v>
      </c>
      <c r="E19" s="37">
        <v>1</v>
      </c>
      <c r="F19" s="37">
        <f>F17/13</f>
        <v>11.538461538461538</v>
      </c>
      <c r="G19" s="37">
        <f>G17/13</f>
        <v>4.615384615384615</v>
      </c>
      <c r="H19" s="38">
        <f>H17/13</f>
        <v>923.07692307692309</v>
      </c>
      <c r="I19" s="38">
        <f>I17/13</f>
        <v>11.538461538461538</v>
      </c>
      <c r="J19" s="37" t="s">
        <v>6</v>
      </c>
      <c r="K19" s="37" t="s">
        <v>6</v>
      </c>
      <c r="L19" s="37" t="s">
        <v>6</v>
      </c>
      <c r="M19" s="37">
        <f>M17/13</f>
        <v>1.5384615384615385</v>
      </c>
      <c r="N19" s="86">
        <f>N17/13</f>
        <v>2.3076923076923075</v>
      </c>
      <c r="O19" s="32"/>
    </row>
    <row r="20" spans="1:15" x14ac:dyDescent="0.3">
      <c r="A20" s="97"/>
      <c r="C20" s="20"/>
      <c r="D20" s="21"/>
      <c r="E20" s="22"/>
      <c r="F20" s="20"/>
      <c r="G20" s="20"/>
      <c r="H20" s="20"/>
      <c r="I20" s="20"/>
      <c r="J20" s="20"/>
      <c r="K20" s="20"/>
      <c r="L20" s="20"/>
      <c r="M20" s="20"/>
      <c r="N20" s="20"/>
    </row>
    <row r="21" spans="1:15" ht="18" hidden="1" x14ac:dyDescent="0.35">
      <c r="B21" s="10"/>
      <c r="C21" s="11" t="s">
        <v>15</v>
      </c>
    </row>
    <row r="22" spans="1:15" ht="18" hidden="1" x14ac:dyDescent="0.35">
      <c r="C22" s="15" t="s">
        <v>16</v>
      </c>
    </row>
    <row r="23" spans="1:15" ht="21" hidden="1" x14ac:dyDescent="0.4">
      <c r="C23" s="16" t="s">
        <v>17</v>
      </c>
    </row>
    <row r="24" spans="1:15" hidden="1" x14ac:dyDescent="0.3">
      <c r="B24" s="17"/>
    </row>
    <row r="27" spans="1:15" x14ac:dyDescent="0.3">
      <c r="C27" s="36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6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7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7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49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1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2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3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 L6">
    <cfRule type="colorScale" priority="119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J16">
    <cfRule type="colorScale" priority="9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 L6">
    <cfRule type="colorScale" priority="118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99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K6:K16">
    <cfRule type="colorScale" priority="7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5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16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4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6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2026-04-23T10:35:00Z</dcterms:modified>
</cp:coreProperties>
</file>