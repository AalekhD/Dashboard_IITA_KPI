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for uploads/"/>
    </mc:Choice>
  </mc:AlternateContent>
  <xr:revisionPtr revIDLastSave="41" documentId="8_{FD82577C-AD6D-4F4A-A11C-CCDDAAD7D2A9}" xr6:coauthVersionLast="47" xr6:coauthVersionMax="47" xr10:uidLastSave="{B42BA76C-9F1B-42DB-9ED4-A5F9380AF049}"/>
  <bookViews>
    <workbookView xWindow="-110" yWindow="-110" windowWidth="19420" windowHeight="10300" xr2:uid="{7BB6CA40-8772-4230-BA57-5A736E483AF1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Product'!$A$1:$N$19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L18" i="1"/>
  <c r="K18" i="1"/>
  <c r="N19" i="1"/>
  <c r="M19" i="1"/>
  <c r="I19" i="1"/>
  <c r="H19" i="1"/>
  <c r="G19" i="1"/>
  <c r="F19" i="1"/>
  <c r="C19" i="1"/>
  <c r="N18" i="1"/>
  <c r="M18" i="1"/>
  <c r="J18" i="1"/>
  <c r="I18" i="1"/>
  <c r="H18" i="1"/>
  <c r="G18" i="1"/>
  <c r="F18" i="1"/>
  <c r="E18" i="1"/>
  <c r="C18" i="1"/>
</calcChain>
</file>

<file path=xl/sharedStrings.xml><?xml version="1.0" encoding="utf-8"?>
<sst xmlns="http://schemas.openxmlformats.org/spreadsheetml/2006/main" count="78" uniqueCount="40">
  <si>
    <t>KPI by Nr.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</si>
  <si>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</si>
  <si>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</si>
  <si>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</si>
  <si>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</si>
  <si>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</si>
  <si>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</si>
  <si>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</si>
  <si>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</si>
  <si>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</si>
  <si>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</si>
  <si>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</si>
  <si>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</si>
  <si>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2025 Actual Values</t>
  </si>
  <si>
    <t>Annual Target</t>
  </si>
  <si>
    <t>Comments</t>
  </si>
  <si>
    <t xml:space="preserve">It looks like the colorscheme is not consistently applied everywhere </t>
  </si>
  <si>
    <t>(e.g., see the different versions of red in cells G4 and H4)?</t>
  </si>
  <si>
    <t>Per Program target</t>
  </si>
  <si>
    <t>Foresight &amp; Impact Assessment</t>
  </si>
  <si>
    <t>Gender, Youth &amp; Social Inclusion</t>
  </si>
  <si>
    <t>Reslience &amp; Climate Adaptation</t>
  </si>
  <si>
    <t>Nutrition and Health</t>
  </si>
  <si>
    <t>Natural Resource Management</t>
  </si>
  <si>
    <t>Value Chain Markets and Agribusiness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</si>
  <si>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</si>
  <si>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</si>
  <si>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</si>
  <si>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</si>
  <si>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</si>
  <si>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</si>
  <si>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</si>
  <si>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</si>
  <si>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</si>
  <si>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</si>
  <si>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Genetic Innovation</t>
  </si>
  <si>
    <t>Resilient Agrifood Systems</t>
  </si>
  <si>
    <t>Systems Transformation</t>
  </si>
  <si>
    <t>IITA Program</t>
  </si>
  <si>
    <t>Biotechnology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</si>
</sst>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0.0%"/>
    <numFmt numFmtId="166" formatCode="_(* #,##0_);_(* \(#,##0\);_(* &quot;-&quot;??_);_(@_)"/>
    <numFmt numFmtId="167" formatCode="_(* #,##0.0_);_(* \(#,##0.0\);_(* &quot;-&quot;??_);_(@_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4"/>
      <color rgb="FFFF0000"/>
      <name val="Calibri"/>
      <family val="2"/>
    </font>
    <font>
      <sz val="14"/>
      <color rgb="FFFF0000"/>
      <name val="Calibri"/>
      <family val="2"/>
    </font>
    <font>
      <sz val="16"/>
      <color rgb="FFFF0000"/>
      <name val="Calibri"/>
      <family val="2"/>
    </font>
    <font>
      <sz val="9"/>
      <color rgb="FFFF0000"/>
      <name val="Calibri"/>
      <family val="2"/>
    </font>
    <font>
      <b/>
      <sz val="9"/>
      <color rgb="FF0070C0"/>
      <name val="Aptos Narrow"/>
      <family val="2"/>
      <scheme val="minor"/>
    </font>
    <font>
      <b/>
      <sz val="9"/>
      <color rgb="FF00B05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5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theme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9">
    <xf numFmtId="0" fontId="0" fillId="0" borderId="0" xfId="0"/>
    <xf numFmtId="0" fontId="2" fillId="0" borderId="0" xfId="0" applyFont="1" applyAlignment="1">
      <alignment horizontal="center"/>
    </xf>
    <xf numFmtId="164" fontId="0" fillId="0" borderId="0" xfId="0" applyNumberFormat="1"/>
    <xf numFmtId="0" fontId="3" fillId="0" borderId="4" xfId="0" applyFont="1" applyBorder="1" applyAlignment="1">
      <alignment horizontal="center" textRotation="90" wrapText="1" readingOrder="1"/>
    </xf>
    <xf numFmtId="0" fontId="2" fillId="0" borderId="4" xfId="0" applyFont="1" applyBorder="1" applyAlignment="1">
      <alignment horizontal="center" textRotation="90" wrapText="1" readingOrder="1"/>
    </xf>
    <xf numFmtId="164" fontId="4" fillId="0" borderId="0" xfId="0" applyNumberFormat="1" applyFont="1"/>
    <xf numFmtId="0" fontId="4" fillId="0" borderId="0" xfId="0" applyFont="1"/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166" fontId="2" fillId="0" borderId="0" xfId="1" applyNumberFormat="1" applyFont="1" applyAlignment="1"/>
    <xf numFmtId="9" fontId="2" fillId="0" borderId="0" xfId="2" applyFont="1" applyAlignment="1">
      <alignment horizontal="center"/>
    </xf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66" fontId="2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164" fontId="10" fillId="0" borderId="0" xfId="0" applyNumberFormat="1" applyFont="1"/>
    <xf numFmtId="0" fontId="10" fillId="0" borderId="0" xfId="0" applyFont="1"/>
    <xf numFmtId="164" fontId="11" fillId="0" borderId="0" xfId="0" applyNumberFormat="1" applyFont="1"/>
    <xf numFmtId="0" fontId="11" fillId="0" borderId="0" xfId="0" applyFont="1"/>
    <xf numFmtId="0" fontId="2" fillId="0" borderId="7" xfId="0" applyFont="1" applyBorder="1" applyAlignment="1">
      <alignment horizontal="center"/>
    </xf>
    <xf numFmtId="1" fontId="5" fillId="3" borderId="8" xfId="0" applyNumberFormat="1" applyFont="1" applyFill="1" applyBorder="1" applyAlignment="1">
      <alignment horizontal="right"/>
    </xf>
    <xf numFmtId="166" fontId="5" fillId="3" borderId="8" xfId="1" applyNumberFormat="1" applyFont="1" applyFill="1" applyBorder="1" applyAlignment="1">
      <alignment horizontal="right"/>
    </xf>
    <xf numFmtId="16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5" fillId="3" borderId="19" xfId="0" applyFont="1" applyFill="1" applyBorder="1"/>
    <xf numFmtId="164" fontId="5" fillId="3" borderId="0" xfId="1" applyNumberFormat="1" applyFont="1" applyFill="1" applyBorder="1" applyAlignment="1">
      <alignment horizontal="right"/>
    </xf>
    <xf numFmtId="1" fontId="5" fillId="3" borderId="0" xfId="1" applyNumberFormat="1" applyFont="1" applyFill="1" applyBorder="1" applyAlignment="1">
      <alignment horizontal="right"/>
    </xf>
    <xf numFmtId="165" fontId="5" fillId="3" borderId="0" xfId="2" applyNumberFormat="1" applyFont="1" applyFill="1" applyBorder="1" applyAlignment="1">
      <alignment horizontal="right"/>
    </xf>
    <xf numFmtId="9" fontId="5" fillId="3" borderId="0" xfId="2" applyFont="1" applyFill="1" applyBorder="1" applyAlignment="1">
      <alignment horizontal="right"/>
    </xf>
    <xf numFmtId="0" fontId="5" fillId="3" borderId="21" xfId="0" applyFont="1" applyFill="1" applyBorder="1"/>
    <xf numFmtId="1" fontId="5" fillId="3" borderId="22" xfId="0" applyNumberFormat="1" applyFont="1" applyFill="1" applyBorder="1" applyAlignment="1">
      <alignment horizontal="right"/>
    </xf>
    <xf numFmtId="1" fontId="5" fillId="3" borderId="0" xfId="0" applyNumberFormat="1" applyFont="1" applyFill="1" applyAlignment="1">
      <alignment horizontal="right"/>
    </xf>
    <xf numFmtId="1" fontId="5" fillId="3" borderId="0" xfId="2" applyNumberFormat="1" applyFont="1" applyFill="1" applyBorder="1" applyAlignment="1">
      <alignment horizontal="right"/>
    </xf>
    <xf numFmtId="0" fontId="5" fillId="2" borderId="26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top"/>
    </xf>
    <xf numFmtId="0" fontId="3" fillId="0" borderId="27" xfId="0" applyFont="1" applyBorder="1" applyAlignment="1">
      <alignment horizontal="left" vertical="center" wrapText="1"/>
    </xf>
    <xf numFmtId="0" fontId="3" fillId="0" borderId="28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left" vertical="center" wrapText="1"/>
    </xf>
    <xf numFmtId="0" fontId="3" fillId="0" borderId="33" xfId="0" applyFont="1" applyBorder="1" applyAlignment="1">
      <alignment horizontal="center" textRotation="90" wrapText="1" readingOrder="1"/>
    </xf>
    <xf numFmtId="0" fontId="3" fillId="0" borderId="34" xfId="0" applyFont="1" applyBorder="1" applyAlignment="1">
      <alignment horizontal="center" textRotation="90" wrapText="1" readingOrder="1"/>
    </xf>
    <xf numFmtId="164" fontId="2" fillId="0" borderId="10" xfId="0" applyNumberFormat="1" applyFont="1" applyBorder="1" applyAlignment="1">
      <alignment horizontal="right"/>
    </xf>
    <xf numFmtId="164" fontId="2" fillId="0" borderId="11" xfId="1" applyNumberFormat="1" applyFont="1" applyBorder="1" applyAlignment="1">
      <alignment horizontal="right"/>
    </xf>
    <xf numFmtId="164" fontId="2" fillId="0" borderId="12" xfId="2" applyNumberFormat="1" applyFont="1" applyBorder="1" applyAlignment="1">
      <alignment horizontal="right"/>
    </xf>
    <xf numFmtId="164" fontId="2" fillId="0" borderId="11" xfId="0" applyNumberFormat="1" applyFont="1" applyBorder="1" applyAlignment="1">
      <alignment horizontal="right"/>
    </xf>
    <xf numFmtId="164" fontId="2" fillId="0" borderId="12" xfId="1" applyNumberFormat="1" applyFont="1" applyBorder="1" applyAlignment="1">
      <alignment horizontal="right"/>
    </xf>
    <xf numFmtId="164" fontId="2" fillId="0" borderId="12" xfId="0" applyNumberFormat="1" applyFont="1" applyBorder="1" applyAlignment="1">
      <alignment horizontal="right"/>
    </xf>
    <xf numFmtId="164" fontId="2" fillId="0" borderId="13" xfId="0" applyNumberFormat="1" applyFont="1" applyBorder="1" applyAlignment="1">
      <alignment horizontal="right"/>
    </xf>
    <xf numFmtId="164" fontId="2" fillId="0" borderId="6" xfId="1" applyNumberFormat="1" applyFont="1" applyBorder="1" applyAlignment="1">
      <alignment horizontal="right"/>
    </xf>
    <xf numFmtId="164" fontId="2" fillId="0" borderId="14" xfId="2" applyNumberFormat="1" applyFont="1" applyBorder="1" applyAlignment="1">
      <alignment horizontal="right"/>
    </xf>
    <xf numFmtId="164" fontId="2" fillId="0" borderId="6" xfId="0" applyNumberFormat="1" applyFont="1" applyBorder="1" applyAlignment="1">
      <alignment horizontal="right"/>
    </xf>
    <xf numFmtId="164" fontId="2" fillId="0" borderId="14" xfId="1" applyNumberFormat="1" applyFont="1" applyBorder="1" applyAlignment="1">
      <alignment horizontal="right"/>
    </xf>
    <xf numFmtId="164" fontId="2" fillId="0" borderId="6" xfId="2" applyNumberFormat="1" applyFont="1" applyBorder="1" applyAlignment="1">
      <alignment horizontal="right" indent="1"/>
    </xf>
    <xf numFmtId="164" fontId="2" fillId="0" borderId="14" xfId="0" applyNumberFormat="1" applyFont="1" applyBorder="1" applyAlignment="1">
      <alignment horizontal="right"/>
    </xf>
    <xf numFmtId="164" fontId="2" fillId="0" borderId="6" xfId="2" applyNumberFormat="1" applyFont="1" applyBorder="1" applyAlignment="1">
      <alignment horizontal="right"/>
    </xf>
    <xf numFmtId="164" fontId="2" fillId="0" borderId="15" xfId="0" applyNumberFormat="1" applyFont="1" applyBorder="1" applyAlignment="1">
      <alignment horizontal="right"/>
    </xf>
    <xf numFmtId="164" fontId="2" fillId="0" borderId="16" xfId="1" applyNumberFormat="1" applyFont="1" applyBorder="1" applyAlignment="1">
      <alignment horizontal="right"/>
    </xf>
    <xf numFmtId="164" fontId="2" fillId="0" borderId="17" xfId="2" applyNumberFormat="1" applyFont="1" applyBorder="1" applyAlignment="1">
      <alignment horizontal="right"/>
    </xf>
    <xf numFmtId="164" fontId="2" fillId="0" borderId="16" xfId="0" applyNumberFormat="1" applyFont="1" applyBorder="1" applyAlignment="1">
      <alignment horizontal="right"/>
    </xf>
    <xf numFmtId="164" fontId="2" fillId="0" borderId="17" xfId="1" applyNumberFormat="1" applyFont="1" applyBorder="1" applyAlignment="1">
      <alignment horizontal="right"/>
    </xf>
    <xf numFmtId="164" fontId="2" fillId="0" borderId="17" xfId="0" applyNumberFormat="1" applyFont="1" applyBorder="1" applyAlignment="1">
      <alignment horizontal="right"/>
    </xf>
    <xf numFmtId="164" fontId="5" fillId="3" borderId="0" xfId="0" applyNumberFormat="1" applyFont="1" applyFill="1" applyAlignment="1">
      <alignment horizontal="right"/>
    </xf>
    <xf numFmtId="164" fontId="5" fillId="3" borderId="0" xfId="2" applyNumberFormat="1" applyFont="1" applyFill="1" applyBorder="1" applyAlignment="1">
      <alignment horizontal="right"/>
    </xf>
    <xf numFmtId="164" fontId="5" fillId="3" borderId="0" xfId="1" applyNumberFormat="1" applyFont="1" applyFill="1" applyBorder="1" applyAlignment="1"/>
    <xf numFmtId="164" fontId="5" fillId="3" borderId="20" xfId="0" applyNumberFormat="1" applyFont="1" applyFill="1" applyBorder="1" applyAlignment="1">
      <alignment horizontal="right"/>
    </xf>
    <xf numFmtId="164" fontId="5" fillId="3" borderId="20" xfId="1" applyNumberFormat="1" applyFont="1" applyFill="1" applyBorder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0" fontId="5" fillId="2" borderId="32" xfId="0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0" fontId="5" fillId="2" borderId="32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5" fillId="2" borderId="18" xfId="0" applyFont="1" applyFill="1" applyBorder="1" applyAlignment="1">
      <alignment horizontal="center" vertical="center" textRotation="90" wrapText="1"/>
    </xf>
    <xf numFmtId="0" fontId="5" fillId="2" borderId="19" xfId="0" applyFont="1" applyFill="1" applyBorder="1" applyAlignment="1">
      <alignment horizontal="center" vertical="center" textRotation="90" wrapText="1"/>
    </xf>
    <xf numFmtId="0" fontId="5" fillId="2" borderId="21" xfId="0" applyFont="1" applyFill="1" applyBorder="1" applyAlignment="1">
      <alignment horizontal="center" vertical="center" textRotation="90" wrapText="1"/>
    </xf>
    <xf numFmtId="0" fontId="5" fillId="2" borderId="23" xfId="0" applyFont="1" applyFill="1" applyBorder="1" applyAlignment="1">
      <alignment horizontal="center" vertical="center" textRotation="90" wrapText="1"/>
    </xf>
    <xf numFmtId="0" fontId="5" fillId="2" borderId="24" xfId="0" applyFont="1" applyFill="1" applyBorder="1" applyAlignment="1">
      <alignment horizontal="center" vertical="center" textRotation="90" wrapText="1"/>
    </xf>
    <xf numFmtId="0" fontId="5" fillId="2" borderId="25" xfId="0" applyFont="1" applyFill="1" applyBorder="1" applyAlignment="1">
      <alignment horizontal="center" vertical="center" textRotation="90" wrapText="1"/>
    </xf>
    <xf numFmtId="167" fontId="2" fillId="0" borderId="16" xfId="1" applyNumberFormat="1" applyFont="1" applyBorder="1" applyAlignment="1">
      <alignment horizontal="right"/>
    </xf>
    <xf numFmtId="167" fontId="2" fillId="0" borderId="11" xfId="1" applyNumberFormat="1" applyFont="1" applyBorder="1" applyAlignment="1">
      <alignment horizontal="right"/>
    </xf>
    <xf numFmtId="167" fontId="2" fillId="0" borderId="6" xfId="1" applyNumberFormat="1" applyFont="1" applyBorder="1" applyAlignment="1">
      <alignment horizontal="right"/>
    </xf>
    <xf numFmtId="167" fontId="5" fillId="3" borderId="0" xfId="1" applyNumberFormat="1" applyFont="1" applyFill="1" applyBorder="1" applyAlignment="1">
      <alignment horizontal="righ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1BFBD-D4EE-4660-B296-1FD8AB7422CF}">
  <sheetPr>
    <tabColor rgb="FFFF0000"/>
    <pageSetUpPr fitToPage="1"/>
  </sheetPr>
  <dimension ref="A1:O27"/>
  <sheetViews>
    <sheetView tabSelected="1" zoomScale="75" zoomScaleNormal="75" zoomScaleSheetLayoutView="75" workbookViewId="0">
      <selection activeCell="V10" sqref="V10"/>
    </sheetView>
  </sheetViews>
  <sheetFormatPr defaultRowHeight="14.5" x14ac:dyDescent="0.35"/>
  <cols>
    <col min="1" max="1" width="8.81640625" customWidth="1"/>
    <col min="2" max="2" width="33.36328125" style="11" customWidth="1"/>
    <col min="3" max="3" width="7.6328125" style="1" customWidth="1"/>
    <col min="4" max="4" width="7.6328125" style="9" customWidth="1"/>
    <col min="5" max="5" width="7.6328125" style="10" customWidth="1"/>
    <col min="6" max="14" width="7.6328125" style="1" customWidth="1"/>
    <col min="15" max="15" width="8.1796875" style="2" customWidth="1"/>
  </cols>
  <sheetData>
    <row r="1" spans="1:15" s="6" customFormat="1" ht="12.5" thickBot="1" x14ac:dyDescent="0.35">
      <c r="A1" s="78"/>
      <c r="B1" s="68" t="s">
        <v>0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70"/>
      <c r="O1" s="5"/>
    </row>
    <row r="2" spans="1:15" s="26" customFormat="1" ht="24.65" customHeight="1" thickBot="1" x14ac:dyDescent="0.4">
      <c r="A2" s="78"/>
      <c r="B2" s="36" t="s">
        <v>38</v>
      </c>
      <c r="C2" s="71" t="s">
        <v>1</v>
      </c>
      <c r="D2" s="72"/>
      <c r="E2" s="73"/>
      <c r="F2" s="74" t="s">
        <v>2</v>
      </c>
      <c r="G2" s="75"/>
      <c r="H2" s="75"/>
      <c r="I2" s="76"/>
      <c r="J2" s="74" t="s">
        <v>3</v>
      </c>
      <c r="K2" s="75"/>
      <c r="L2" s="75"/>
      <c r="M2" s="75"/>
      <c r="N2" s="76"/>
      <c r="O2" s="25"/>
    </row>
    <row r="3" spans="1:15" s="6" customFormat="1" ht="99.65" customHeight="1" thickBot="1" x14ac:dyDescent="0.35">
      <c r="A3" s="78"/>
      <c r="B3" s="37"/>
      <c r="C3" s="41" t="s">
        <v>25</v>
      </c>
      <c r="D3" s="3" t="s">
        <v>26</v>
      </c>
      <c r="E3" s="42" t="s">
        <v>27</v>
      </c>
      <c r="F3" s="41" t="s">
        <v>28</v>
      </c>
      <c r="G3" s="3" t="s">
        <v>29</v>
      </c>
      <c r="H3" s="3" t="s">
        <v>30</v>
      </c>
      <c r="I3" s="42" t="s">
        <v>31</v>
      </c>
      <c r="J3" s="41" t="s">
        <v>4</v>
      </c>
      <c r="K3" s="4" t="s">
        <v>5</v>
      </c>
      <c r="L3" s="4" t="s">
        <v>32</v>
      </c>
      <c r="M3" s="3" t="s">
        <v>33</v>
      </c>
      <c r="N3" s="42" t="s">
        <v>34</v>
      </c>
      <c r="O3" s="5"/>
    </row>
    <row r="4" spans="1:15" s="6" customFormat="1" ht="16" customHeight="1" x14ac:dyDescent="0.3">
      <c r="A4" s="82" t="s">
        <v>35</v>
      </c>
      <c r="B4" s="38" t="s">
        <v>39</v>
      </c>
      <c r="C4" s="43">
        <v>21.95</v>
      </c>
      <c r="D4" s="44">
        <v>3.1357142857142857</v>
      </c>
      <c r="E4" s="45">
        <v>1</v>
      </c>
      <c r="F4" s="43">
        <v>1</v>
      </c>
      <c r="G4" s="46">
        <v>1</v>
      </c>
      <c r="H4" s="86">
        <v>68</v>
      </c>
      <c r="I4" s="47">
        <v>184</v>
      </c>
      <c r="J4" s="43" t="s">
        <v>6</v>
      </c>
      <c r="K4" s="46" t="s">
        <v>6</v>
      </c>
      <c r="L4" s="46" t="s">
        <v>6</v>
      </c>
      <c r="M4" s="46">
        <v>1</v>
      </c>
      <c r="N4" s="48">
        <v>0</v>
      </c>
      <c r="O4" s="5"/>
    </row>
    <row r="5" spans="1:15" s="6" customFormat="1" ht="16" customHeight="1" x14ac:dyDescent="0.3">
      <c r="A5" s="83"/>
      <c r="B5" s="39" t="s">
        <v>7</v>
      </c>
      <c r="C5" s="49">
        <v>51.45</v>
      </c>
      <c r="D5" s="50">
        <v>2.2369565217391307</v>
      </c>
      <c r="E5" s="51">
        <v>0</v>
      </c>
      <c r="F5" s="49">
        <v>24</v>
      </c>
      <c r="G5" s="52">
        <v>28</v>
      </c>
      <c r="H5" s="87">
        <v>108</v>
      </c>
      <c r="I5" s="53">
        <v>214</v>
      </c>
      <c r="J5" s="49">
        <v>46</v>
      </c>
      <c r="K5" s="54">
        <v>1.4999999999999999E-2</v>
      </c>
      <c r="L5" s="52" t="s">
        <v>6</v>
      </c>
      <c r="M5" s="52">
        <v>8</v>
      </c>
      <c r="N5" s="55">
        <v>5</v>
      </c>
      <c r="O5" s="5"/>
    </row>
    <row r="6" spans="1:15" s="6" customFormat="1" ht="16" customHeight="1" x14ac:dyDescent="0.3">
      <c r="A6" s="83"/>
      <c r="B6" s="39" t="s">
        <v>8</v>
      </c>
      <c r="C6" s="49">
        <v>5</v>
      </c>
      <c r="D6" s="50">
        <v>1.25</v>
      </c>
      <c r="E6" s="51">
        <v>0</v>
      </c>
      <c r="F6" s="49">
        <v>26</v>
      </c>
      <c r="G6" s="52">
        <v>19</v>
      </c>
      <c r="H6" s="87">
        <v>5</v>
      </c>
      <c r="I6" s="53">
        <v>113</v>
      </c>
      <c r="J6" s="49" t="s">
        <v>6</v>
      </c>
      <c r="K6" s="52" t="s">
        <v>6</v>
      </c>
      <c r="L6" s="56">
        <v>1</v>
      </c>
      <c r="M6" s="52">
        <v>0</v>
      </c>
      <c r="N6" s="55">
        <v>0</v>
      </c>
      <c r="O6" s="5"/>
    </row>
    <row r="7" spans="1:15" s="6" customFormat="1" ht="16" customHeight="1" thickBot="1" x14ac:dyDescent="0.35">
      <c r="A7" s="84"/>
      <c r="B7" s="40" t="s">
        <v>9</v>
      </c>
      <c r="C7" s="57">
        <v>15.4</v>
      </c>
      <c r="D7" s="58">
        <v>1.0266666666666666</v>
      </c>
      <c r="E7" s="59">
        <v>0</v>
      </c>
      <c r="F7" s="57">
        <v>5</v>
      </c>
      <c r="G7" s="60">
        <v>7</v>
      </c>
      <c r="H7" s="85">
        <v>2247</v>
      </c>
      <c r="I7" s="61">
        <v>309</v>
      </c>
      <c r="J7" s="57" t="s">
        <v>6</v>
      </c>
      <c r="K7" s="60" t="s">
        <v>6</v>
      </c>
      <c r="L7" s="60" t="s">
        <v>6</v>
      </c>
      <c r="M7" s="60">
        <v>17</v>
      </c>
      <c r="N7" s="62">
        <v>2</v>
      </c>
      <c r="O7" s="5"/>
    </row>
    <row r="8" spans="1:15" s="6" customFormat="1" ht="16" customHeight="1" x14ac:dyDescent="0.3">
      <c r="A8" s="82" t="s">
        <v>36</v>
      </c>
      <c r="B8" s="38" t="s">
        <v>10</v>
      </c>
      <c r="C8" s="43">
        <v>41.45</v>
      </c>
      <c r="D8" s="44">
        <v>3.4541666666666671</v>
      </c>
      <c r="E8" s="45">
        <v>1</v>
      </c>
      <c r="F8" s="43">
        <v>9</v>
      </c>
      <c r="G8" s="46">
        <v>9</v>
      </c>
      <c r="H8" s="86">
        <v>102</v>
      </c>
      <c r="I8" s="47">
        <v>10</v>
      </c>
      <c r="J8" s="43" t="s">
        <v>6</v>
      </c>
      <c r="K8" s="46" t="s">
        <v>6</v>
      </c>
      <c r="L8" s="46" t="s">
        <v>6</v>
      </c>
      <c r="M8" s="46">
        <v>6</v>
      </c>
      <c r="N8" s="48">
        <v>2</v>
      </c>
      <c r="O8" s="5"/>
    </row>
    <row r="9" spans="1:15" s="6" customFormat="1" ht="16" customHeight="1" x14ac:dyDescent="0.3">
      <c r="A9" s="83"/>
      <c r="B9" s="39" t="s">
        <v>11</v>
      </c>
      <c r="C9" s="49">
        <v>20.87</v>
      </c>
      <c r="D9" s="50">
        <v>1.0435000000000001</v>
      </c>
      <c r="E9" s="51">
        <v>1</v>
      </c>
      <c r="F9" s="49">
        <v>22</v>
      </c>
      <c r="G9" s="52">
        <v>14</v>
      </c>
      <c r="H9" s="87">
        <v>3185</v>
      </c>
      <c r="I9" s="53">
        <v>233</v>
      </c>
      <c r="J9" s="49" t="s">
        <v>6</v>
      </c>
      <c r="K9" s="52" t="s">
        <v>6</v>
      </c>
      <c r="L9" s="52" t="s">
        <v>6</v>
      </c>
      <c r="M9" s="52">
        <v>1</v>
      </c>
      <c r="N9" s="55">
        <v>9</v>
      </c>
      <c r="O9" s="5"/>
    </row>
    <row r="10" spans="1:15" s="6" customFormat="1" ht="16" customHeight="1" x14ac:dyDescent="0.3">
      <c r="A10" s="83"/>
      <c r="B10" s="39" t="s">
        <v>23</v>
      </c>
      <c r="C10" s="49">
        <v>15.5</v>
      </c>
      <c r="D10" s="50">
        <v>2.2142857142857144</v>
      </c>
      <c r="E10" s="51">
        <v>2</v>
      </c>
      <c r="F10" s="49">
        <v>7</v>
      </c>
      <c r="G10" s="52">
        <v>3</v>
      </c>
      <c r="H10" s="87">
        <v>3754</v>
      </c>
      <c r="I10" s="53">
        <v>20</v>
      </c>
      <c r="J10" s="49" t="s">
        <v>6</v>
      </c>
      <c r="K10" s="52" t="s">
        <v>6</v>
      </c>
      <c r="L10" s="52" t="s">
        <v>6</v>
      </c>
      <c r="M10" s="52">
        <v>10</v>
      </c>
      <c r="N10" s="55">
        <v>2</v>
      </c>
      <c r="O10" s="5"/>
    </row>
    <row r="11" spans="1:15" s="6" customFormat="1" ht="16" customHeight="1" thickBot="1" x14ac:dyDescent="0.35">
      <c r="A11" s="84"/>
      <c r="B11" s="40" t="s">
        <v>12</v>
      </c>
      <c r="C11" s="57">
        <v>0</v>
      </c>
      <c r="D11" s="58">
        <v>0</v>
      </c>
      <c r="E11" s="59">
        <v>0</v>
      </c>
      <c r="F11" s="57">
        <v>2</v>
      </c>
      <c r="G11" s="60">
        <v>1</v>
      </c>
      <c r="H11" s="85">
        <v>0</v>
      </c>
      <c r="I11" s="61">
        <v>0</v>
      </c>
      <c r="J11" s="57" t="s">
        <v>6</v>
      </c>
      <c r="K11" s="60" t="s">
        <v>6</v>
      </c>
      <c r="L11" s="60" t="s">
        <v>6</v>
      </c>
      <c r="M11" s="60">
        <v>3</v>
      </c>
      <c r="N11" s="62">
        <v>3</v>
      </c>
      <c r="O11" s="5"/>
    </row>
    <row r="12" spans="1:15" s="6" customFormat="1" ht="16" customHeight="1" x14ac:dyDescent="0.3">
      <c r="A12" s="79" t="s">
        <v>37</v>
      </c>
      <c r="B12" s="38" t="s">
        <v>19</v>
      </c>
      <c r="C12" s="43">
        <v>9.92</v>
      </c>
      <c r="D12" s="44">
        <v>0.90181818181818185</v>
      </c>
      <c r="E12" s="45">
        <v>0</v>
      </c>
      <c r="F12" s="43">
        <v>5</v>
      </c>
      <c r="G12" s="46">
        <v>5</v>
      </c>
      <c r="H12" s="86">
        <v>94</v>
      </c>
      <c r="I12" s="47">
        <v>109</v>
      </c>
      <c r="J12" s="43" t="s">
        <v>6</v>
      </c>
      <c r="K12" s="46" t="s">
        <v>6</v>
      </c>
      <c r="L12" s="46" t="s">
        <v>6</v>
      </c>
      <c r="M12" s="46">
        <v>0</v>
      </c>
      <c r="N12" s="48">
        <v>0</v>
      </c>
      <c r="O12" s="5"/>
    </row>
    <row r="13" spans="1:15" s="6" customFormat="1" ht="16" customHeight="1" x14ac:dyDescent="0.3">
      <c r="A13" s="80"/>
      <c r="B13" s="39" t="s">
        <v>20</v>
      </c>
      <c r="C13" s="49">
        <v>6.6</v>
      </c>
      <c r="D13" s="50">
        <v>0.6</v>
      </c>
      <c r="E13" s="51">
        <v>0</v>
      </c>
      <c r="F13" s="49">
        <v>4</v>
      </c>
      <c r="G13" s="52">
        <v>3</v>
      </c>
      <c r="H13" s="87">
        <v>1912</v>
      </c>
      <c r="I13" s="53">
        <v>156</v>
      </c>
      <c r="J13" s="49" t="s">
        <v>6</v>
      </c>
      <c r="K13" s="52" t="s">
        <v>6</v>
      </c>
      <c r="L13" s="52" t="s">
        <v>6</v>
      </c>
      <c r="M13" s="52">
        <v>0</v>
      </c>
      <c r="N13" s="55">
        <v>0</v>
      </c>
      <c r="O13" s="5"/>
    </row>
    <row r="14" spans="1:15" s="6" customFormat="1" ht="16" customHeight="1" x14ac:dyDescent="0.3">
      <c r="A14" s="80"/>
      <c r="B14" s="39" t="s">
        <v>21</v>
      </c>
      <c r="C14" s="49">
        <v>13.33</v>
      </c>
      <c r="D14" s="50">
        <v>2.6659999999999999</v>
      </c>
      <c r="E14" s="51">
        <v>1</v>
      </c>
      <c r="F14" s="49">
        <v>1</v>
      </c>
      <c r="G14" s="52">
        <v>2</v>
      </c>
      <c r="H14" s="87">
        <v>0</v>
      </c>
      <c r="I14" s="53">
        <v>0</v>
      </c>
      <c r="J14" s="49" t="s">
        <v>6</v>
      </c>
      <c r="K14" s="52" t="s">
        <v>6</v>
      </c>
      <c r="L14" s="52" t="s">
        <v>6</v>
      </c>
      <c r="M14" s="52">
        <v>0</v>
      </c>
      <c r="N14" s="55">
        <v>0</v>
      </c>
      <c r="O14" s="5"/>
    </row>
    <row r="15" spans="1:15" s="6" customFormat="1" ht="16" customHeight="1" x14ac:dyDescent="0.3">
      <c r="A15" s="80"/>
      <c r="B15" s="39" t="s">
        <v>22</v>
      </c>
      <c r="C15" s="49">
        <v>12.5</v>
      </c>
      <c r="D15" s="50">
        <v>3.125</v>
      </c>
      <c r="E15" s="51">
        <v>0</v>
      </c>
      <c r="F15" s="49">
        <v>2</v>
      </c>
      <c r="G15" s="52">
        <v>8</v>
      </c>
      <c r="H15" s="87">
        <v>130</v>
      </c>
      <c r="I15" s="53">
        <v>15</v>
      </c>
      <c r="J15" s="49" t="s">
        <v>6</v>
      </c>
      <c r="K15" s="52" t="s">
        <v>6</v>
      </c>
      <c r="L15" s="52" t="s">
        <v>6</v>
      </c>
      <c r="M15" s="52">
        <v>0</v>
      </c>
      <c r="N15" s="55">
        <v>0</v>
      </c>
      <c r="O15" s="5"/>
    </row>
    <row r="16" spans="1:15" s="6" customFormat="1" ht="16" customHeight="1" thickBot="1" x14ac:dyDescent="0.35">
      <c r="A16" s="81"/>
      <c r="B16" s="40" t="s">
        <v>24</v>
      </c>
      <c r="C16" s="57">
        <v>3</v>
      </c>
      <c r="D16" s="58">
        <v>0.3</v>
      </c>
      <c r="E16" s="59">
        <v>0</v>
      </c>
      <c r="F16" s="57">
        <v>5</v>
      </c>
      <c r="G16" s="60">
        <v>3</v>
      </c>
      <c r="H16" s="85">
        <v>1007</v>
      </c>
      <c r="I16" s="61">
        <v>81</v>
      </c>
      <c r="J16" s="57" t="s">
        <v>6</v>
      </c>
      <c r="K16" s="60" t="s">
        <v>6</v>
      </c>
      <c r="L16" s="60" t="s">
        <v>6</v>
      </c>
      <c r="M16" s="60">
        <v>5</v>
      </c>
      <c r="N16" s="62">
        <v>0</v>
      </c>
      <c r="O16" s="5"/>
    </row>
    <row r="17" spans="1:15" s="19" customFormat="1" ht="14.4" customHeight="1" x14ac:dyDescent="0.3">
      <c r="A17" s="77"/>
      <c r="B17" s="27" t="s">
        <v>14</v>
      </c>
      <c r="C17" s="63">
        <v>272</v>
      </c>
      <c r="D17" s="28">
        <v>2</v>
      </c>
      <c r="E17" s="64">
        <v>13</v>
      </c>
      <c r="F17" s="63">
        <v>150</v>
      </c>
      <c r="G17" s="63">
        <v>60</v>
      </c>
      <c r="H17" s="88">
        <v>12000</v>
      </c>
      <c r="I17" s="28">
        <v>150</v>
      </c>
      <c r="J17" s="34">
        <v>6</v>
      </c>
      <c r="K17" s="35">
        <v>1.4999999999999999E-2</v>
      </c>
      <c r="L17" s="31">
        <v>1</v>
      </c>
      <c r="M17" s="63">
        <v>20</v>
      </c>
      <c r="N17" s="66">
        <v>30</v>
      </c>
      <c r="O17" s="18"/>
    </row>
    <row r="18" spans="1:15" s="21" customFormat="1" ht="14.4" customHeight="1" x14ac:dyDescent="0.3">
      <c r="A18" s="77"/>
      <c r="B18" s="27" t="s">
        <v>13</v>
      </c>
      <c r="C18" s="65">
        <f>SUM(C4:C16)</f>
        <v>216.97</v>
      </c>
      <c r="D18" s="28">
        <f>AVERAGE(D4:D16)</f>
        <v>1.6887775412992805</v>
      </c>
      <c r="E18" s="28">
        <f t="shared" ref="E18:N18" si="0">SUM(E4:E16)</f>
        <v>6</v>
      </c>
      <c r="F18" s="28">
        <f t="shared" si="0"/>
        <v>113</v>
      </c>
      <c r="G18" s="28">
        <f t="shared" si="0"/>
        <v>103</v>
      </c>
      <c r="H18" s="88">
        <f t="shared" si="0"/>
        <v>12612</v>
      </c>
      <c r="I18" s="28">
        <f t="shared" si="0"/>
        <v>1444</v>
      </c>
      <c r="J18" s="29">
        <f t="shared" si="0"/>
        <v>46</v>
      </c>
      <c r="K18" s="30">
        <f t="shared" si="0"/>
        <v>1.4999999999999999E-2</v>
      </c>
      <c r="L18" s="31">
        <f t="shared" si="0"/>
        <v>1</v>
      </c>
      <c r="M18" s="28">
        <f t="shared" si="0"/>
        <v>51</v>
      </c>
      <c r="N18" s="67">
        <f t="shared" si="0"/>
        <v>23</v>
      </c>
      <c r="O18" s="20"/>
    </row>
    <row r="19" spans="1:15" s="19" customFormat="1" ht="14.4" customHeight="1" thickBot="1" x14ac:dyDescent="0.35">
      <c r="A19" s="77"/>
      <c r="B19" s="32" t="s">
        <v>18</v>
      </c>
      <c r="C19" s="23">
        <f>C17/13</f>
        <v>20.923076923076923</v>
      </c>
      <c r="D19" s="23">
        <v>2</v>
      </c>
      <c r="E19" s="23">
        <v>1</v>
      </c>
      <c r="F19" s="23">
        <f>F17/13</f>
        <v>11.538461538461538</v>
      </c>
      <c r="G19" s="23">
        <f>G17/13</f>
        <v>4.615384615384615</v>
      </c>
      <c r="H19" s="24">
        <f>H17/13</f>
        <v>923.07692307692309</v>
      </c>
      <c r="I19" s="24">
        <f>I17/13</f>
        <v>11.538461538461538</v>
      </c>
      <c r="J19" s="23" t="s">
        <v>6</v>
      </c>
      <c r="K19" s="23" t="s">
        <v>6</v>
      </c>
      <c r="L19" s="23" t="s">
        <v>6</v>
      </c>
      <c r="M19" s="23">
        <f>M17/13</f>
        <v>1.5384615384615385</v>
      </c>
      <c r="N19" s="33">
        <f>N17/13</f>
        <v>2.3076923076923075</v>
      </c>
      <c r="O19" s="18"/>
    </row>
    <row r="20" spans="1:15" x14ac:dyDescent="0.35">
      <c r="A20" s="77"/>
      <c r="C20" s="15"/>
      <c r="D20" s="16"/>
      <c r="E20" s="17"/>
      <c r="F20" s="15"/>
      <c r="G20" s="15"/>
      <c r="H20" s="15"/>
      <c r="I20" s="15"/>
      <c r="J20" s="15"/>
      <c r="K20" s="15"/>
      <c r="L20" s="15"/>
      <c r="M20" s="15"/>
      <c r="N20" s="15"/>
    </row>
    <row r="21" spans="1:15" ht="18.5" hidden="1" x14ac:dyDescent="0.45">
      <c r="B21" s="7"/>
      <c r="C21" s="8" t="s">
        <v>15</v>
      </c>
    </row>
    <row r="22" spans="1:15" ht="18.5" hidden="1" x14ac:dyDescent="0.45">
      <c r="C22" s="12" t="s">
        <v>16</v>
      </c>
    </row>
    <row r="23" spans="1:15" ht="21" hidden="1" x14ac:dyDescent="0.5">
      <c r="C23" s="13" t="s">
        <v>17</v>
      </c>
    </row>
    <row r="24" spans="1:15" hidden="1" x14ac:dyDescent="0.35">
      <c r="B24" s="14"/>
    </row>
    <row r="27" spans="1:15" x14ac:dyDescent="0.35">
      <c r="C27" s="22"/>
    </row>
  </sheetData>
  <mergeCells count="9">
    <mergeCell ref="B1:N1"/>
    <mergeCell ref="C2:E2"/>
    <mergeCell ref="F2:I2"/>
    <mergeCell ref="J2:N2"/>
    <mergeCell ref="A17:A20"/>
    <mergeCell ref="A1:A3"/>
    <mergeCell ref="A12:A16"/>
    <mergeCell ref="A4:A7"/>
    <mergeCell ref="A8:A11"/>
  </mergeCells>
  <conditionalFormatting sqref="C4:C16">
    <cfRule type="colorScale" priority="248">
      <colorScale>
        <cfvo type="min"/>
        <cfvo type="formula" val="$C$19/2"/>
        <cfvo type="formula" val="$C$19"/>
        <color rgb="FFFF0000"/>
        <color rgb="FFFFFF00"/>
        <color rgb="FF00B050"/>
      </colorScale>
    </cfRule>
  </conditionalFormatting>
  <conditionalFormatting sqref="D4:D16">
    <cfRule type="colorScale" priority="259">
      <colorScale>
        <cfvo type="min"/>
        <cfvo type="num" val="$D$19/2"/>
        <cfvo type="formula" val="$D$19"/>
        <color rgb="FFFF0000"/>
        <color rgb="FFFFFF00"/>
        <color rgb="FF00B050"/>
      </colorScale>
    </cfRule>
  </conditionalFormatting>
  <conditionalFormatting sqref="E4:E16">
    <cfRule type="colorScale" priority="249">
      <colorScale>
        <cfvo type="num" val="0"/>
        <cfvo type="num" val="0.5"/>
        <cfvo type="formula" val="$E$19"/>
        <color rgb="FFFF0000"/>
        <color rgb="FFFFFF00"/>
        <color rgb="FF00B050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251">
      <colorScale>
        <cfvo type="min"/>
        <cfvo type="formula" val="$F$19/2"/>
        <cfvo type="formula" val="$F$19"/>
        <color rgb="FFFF0000"/>
        <color rgb="FFFFFF00"/>
        <color rgb="FF00B050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253">
      <colorScale>
        <cfvo type="min"/>
        <cfvo type="formula" val="$G$19/2"/>
        <cfvo type="formula" val="$G$19"/>
        <color rgb="FFFF0000"/>
        <color rgb="FFFFFF00"/>
        <color rgb="FF00B050"/>
      </colorScale>
    </cfRule>
  </conditionalFormatting>
  <conditionalFormatting sqref="H4:H16">
    <cfRule type="colorScale" priority="254">
      <colorScale>
        <cfvo type="min"/>
        <cfvo type="formula" val="$H$19/2"/>
        <cfvo type="formula" val="$H$19"/>
        <color rgb="FFFF0000"/>
        <color rgb="FFFFFF00"/>
        <color rgb="FF00B050"/>
      </colorScale>
    </cfRule>
  </conditionalFormatting>
  <conditionalFormatting sqref="I4:I16">
    <cfRule type="colorScale" priority="255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">
    <cfRule type="colorScale" priority="13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:K16 L7:L16">
    <cfRule type="colorScale" priority="1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">
    <cfRule type="colorScale" priority="3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 L6">
    <cfRule type="colorScale" priority="120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">
    <cfRule type="colorScale" priority="101">
      <colorScale>
        <cfvo type="min"/>
        <cfvo type="formula" val="MAX($K$4:$K$16)/2"/>
        <cfvo type="max"/>
        <color rgb="FFF8696B"/>
        <color rgb="FFFFEB84"/>
        <color rgb="FF63BE7B"/>
      </colorScale>
    </cfRule>
  </conditionalFormatting>
  <conditionalFormatting sqref="L4:L5">
    <cfRule type="colorScale" priority="5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6 J5">
    <cfRule type="colorScale" priority="121">
      <colorScale>
        <cfvo type="min"/>
        <cfvo type="formula" val="MAX($J$4:$J$16)/2"/>
        <cfvo type="max"/>
        <color rgb="FFF8696B"/>
        <color rgb="FFFFEB84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16">
    <cfRule type="colorScale" priority="256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258">
      <colorScale>
        <cfvo type="min"/>
        <cfvo type="formula" val="$N$19/2"/>
        <cfvo type="formula" val="$N$19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60" orientation="landscape" r:id="rId1"/>
  <ignoredErrors>
    <ignoredError sqref="C18 E18:K18 L18:N18" formulaRange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2026-04-08T13:52:03Z</dcterms:created>
  <dcterms:modified xsi:type="dcterms:W3CDTF">2026-04-30T08:07:30Z</dcterms:modified>
</cp:coreProperties>
</file>