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637945C4-9048-442B-8CCE-19BFFBA0E2B0}" xr6:coauthVersionLast="47" xr6:coauthVersionMax="47" xr10:uidLastSave="{00000000-0000-0000-0000-000000000000}"/>
  <bookViews>
    <workbookView xWindow="28680" yWindow="-120" windowWidth="29040" windowHeight="15720" xr2:uid="{7BB6CA40-8772-4230-BA57-5A736E483AF1}"/>
  </bookViews>
  <sheets>
    <sheet name="Res, Cap, Product" sheetId="1" r:id="rId1"/>
  </sheets>
  <definedNames>
    <definedName name="_Hlk200085589" localSheetId="0">'Res, Cap, Product'!#REF!</definedName>
    <definedName name="_xlnm.Print_Area" localSheetId="0">'Res, Cap, Product'!$B$1:$O$19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M18" i="1"/>
  <c r="L18" i="1"/>
  <c r="O19" i="1"/>
  <c r="N19" i="1"/>
  <c r="J19" i="1"/>
  <c r="I19" i="1"/>
  <c r="H19" i="1"/>
  <c r="G19" i="1"/>
  <c r="D19" i="1"/>
  <c r="O18" i="1"/>
  <c r="N18" i="1"/>
  <c r="K18" i="1"/>
  <c r="J18" i="1"/>
  <c r="I18" i="1"/>
  <c r="H18" i="1"/>
  <c r="G18" i="1"/>
  <c r="F18" i="1"/>
  <c r="D18" i="1"/>
</calcChain>
</file>

<file path=xl/sharedStrings.xml><?xml version="1.0" encoding="utf-8"?>
<sst xmlns="http://schemas.openxmlformats.org/spreadsheetml/2006/main" count="77" uniqueCount="39">
  <si>
    <t>KPI by Nr.</t>
  </si>
  <si>
    <t>Research Outputs</t>
  </si>
  <si>
    <t>Training and Capacity Building</t>
  </si>
  <si>
    <t>Product Development</t>
  </si>
  <si>
    <t>Varieties released</t>
  </si>
  <si>
    <t>Annual rate of genetic gain, by crop (%)</t>
  </si>
  <si>
    <t>Biotech</t>
  </si>
  <si>
    <t>N/A</t>
  </si>
  <si>
    <t>Breeding</t>
  </si>
  <si>
    <t>Genebanks</t>
  </si>
  <si>
    <t>Seed System</t>
  </si>
  <si>
    <t>Plant Health</t>
  </si>
  <si>
    <t>Farming Systems Agronomy</t>
  </si>
  <si>
    <t>Mechanization</t>
  </si>
  <si>
    <t>2025 Actual Values</t>
  </si>
  <si>
    <t>Annual Target</t>
  </si>
  <si>
    <t>Comments</t>
  </si>
  <si>
    <t xml:space="preserve">It looks like the colorscheme is not consistently applied everywhere </t>
  </si>
  <si>
    <t>(e.g., see the different versions of red in cells G4 and H4)?</t>
  </si>
  <si>
    <t>Per Program target</t>
  </si>
  <si>
    <t>Foresight &amp; Impact Assessment</t>
  </si>
  <si>
    <t>Gender, Youth &amp; Social Inclusion</t>
  </si>
  <si>
    <t>Reslience &amp; Climate Adaptation</t>
  </si>
  <si>
    <t>Nutrition and Health</t>
  </si>
  <si>
    <t>Natural Resource Management</t>
  </si>
  <si>
    <t>Value Chain Markets and Agribusiness</t>
  </si>
  <si>
    <t>Thompson indexed publications</t>
  </si>
  <si>
    <t>Publications per IRS</t>
  </si>
  <si>
    <t>High impact publications &gt;10</t>
  </si>
  <si>
    <t xml:space="preserve">PhD and MsC students enrolled </t>
  </si>
  <si>
    <t>PhD and MSc thesis accepted</t>
  </si>
  <si>
    <t>Delivery partners trained</t>
  </si>
  <si>
    <t>National scientists trained</t>
  </si>
  <si>
    <t>Crop Trust performance compliance rate</t>
  </si>
  <si>
    <t>Innovations in TAAT e-catalog</t>
  </si>
  <si>
    <t>Innovations taken on by scaling partners</t>
  </si>
  <si>
    <t>Genetic Innovation</t>
  </si>
  <si>
    <t>Resilient Agrifood Systems</t>
  </si>
  <si>
    <t>Systems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</si>
</sst>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%"/>
    <numFmt numFmtId="167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14"/>
      <color rgb="FFFF0000"/>
      <name val="Calibri"/>
      <family val="2"/>
    </font>
    <font>
      <sz val="14"/>
      <color rgb="FFFF0000"/>
      <name val="Calibri"/>
      <family val="2"/>
    </font>
    <font>
      <sz val="16"/>
      <color rgb="FFFF0000"/>
      <name val="Calibri"/>
      <family val="2"/>
    </font>
    <font>
      <sz val="9"/>
      <color rgb="FFFF0000"/>
      <name val="Calibri"/>
      <family val="2"/>
    </font>
    <font>
      <b/>
      <sz val="9"/>
      <color theme="1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9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rgb="FF00B050"/>
      </bottom>
      <diagonal/>
    </border>
    <border>
      <left style="medium">
        <color theme="1"/>
      </left>
      <right/>
      <top style="thin">
        <color rgb="FF00B050"/>
      </top>
      <bottom style="thin">
        <color rgb="FF00B050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rgb="FF00B05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/>
    </xf>
    <xf numFmtId="165" fontId="0" fillId="0" borderId="0" xfId="0" applyNumberFormat="1"/>
    <xf numFmtId="0" fontId="2" fillId="0" borderId="0" xfId="0" applyFont="1"/>
    <xf numFmtId="0" fontId="2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center" textRotation="90" wrapText="1" readingOrder="1"/>
    </xf>
    <xf numFmtId="0" fontId="3" fillId="0" borderId="14" xfId="0" applyFont="1" applyBorder="1" applyAlignment="1">
      <alignment horizontal="center" textRotation="90" wrapText="1" readingOrder="1"/>
    </xf>
    <xf numFmtId="0" fontId="3" fillId="0" borderId="15" xfId="0" applyFont="1" applyBorder="1" applyAlignment="1">
      <alignment horizontal="center" textRotation="90" wrapText="1" readingOrder="1"/>
    </xf>
    <xf numFmtId="0" fontId="2" fillId="0" borderId="14" xfId="0" applyFont="1" applyBorder="1" applyAlignment="1">
      <alignment horizontal="center" textRotation="90" wrapText="1" readingOrder="1"/>
    </xf>
    <xf numFmtId="165" fontId="4" fillId="0" borderId="0" xfId="0" applyNumberFormat="1" applyFont="1"/>
    <xf numFmtId="0" fontId="4" fillId="0" borderId="0" xfId="0" applyFont="1"/>
    <xf numFmtId="0" fontId="3" fillId="0" borderId="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7" fontId="2" fillId="0" borderId="0" xfId="1" applyNumberFormat="1" applyFont="1" applyAlignment="1"/>
    <xf numFmtId="9" fontId="2" fillId="0" borderId="0" xfId="2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6" fontId="2" fillId="0" borderId="21" xfId="2" applyNumberFormat="1" applyFont="1" applyBorder="1" applyAlignment="1">
      <alignment horizontal="right" indent="1"/>
    </xf>
    <xf numFmtId="9" fontId="2" fillId="0" borderId="21" xfId="2" applyFont="1" applyBorder="1" applyAlignment="1">
      <alignment horizontal="right"/>
    </xf>
    <xf numFmtId="0" fontId="2" fillId="0" borderId="0" xfId="0" applyFont="1" applyAlignment="1">
      <alignment horizontal="right"/>
    </xf>
    <xf numFmtId="167" fontId="2" fillId="0" borderId="0" xfId="1" applyNumberFormat="1" applyFont="1" applyAlignment="1">
      <alignment horizontal="right"/>
    </xf>
    <xf numFmtId="9" fontId="2" fillId="0" borderId="0" xfId="2" applyFont="1" applyAlignment="1">
      <alignment horizontal="right"/>
    </xf>
    <xf numFmtId="1" fontId="2" fillId="0" borderId="9" xfId="0" applyNumberFormat="1" applyFont="1" applyBorder="1" applyAlignment="1">
      <alignment horizontal="right"/>
    </xf>
    <xf numFmtId="1" fontId="2" fillId="0" borderId="10" xfId="1" applyNumberFormat="1" applyFont="1" applyBorder="1" applyAlignment="1">
      <alignment horizontal="right"/>
    </xf>
    <xf numFmtId="1" fontId="2" fillId="0" borderId="11" xfId="2" applyNumberFormat="1" applyFont="1" applyBorder="1" applyAlignment="1">
      <alignment horizontal="right"/>
    </xf>
    <xf numFmtId="1" fontId="2" fillId="0" borderId="10" xfId="0" applyNumberFormat="1" applyFont="1" applyBorder="1" applyAlignment="1">
      <alignment horizontal="right"/>
    </xf>
    <xf numFmtId="1" fontId="2" fillId="0" borderId="11" xfId="0" applyNumberFormat="1" applyFont="1" applyBorder="1" applyAlignment="1">
      <alignment horizontal="right"/>
    </xf>
    <xf numFmtId="1" fontId="2" fillId="0" borderId="20" xfId="0" applyNumberFormat="1" applyFont="1" applyBorder="1" applyAlignment="1">
      <alignment horizontal="right"/>
    </xf>
    <xf numFmtId="1" fontId="2" fillId="0" borderId="21" xfId="1" applyNumberFormat="1" applyFont="1" applyBorder="1" applyAlignment="1">
      <alignment horizontal="right"/>
    </xf>
    <xf numFmtId="1" fontId="2" fillId="0" borderId="22" xfId="2" applyNumberFormat="1" applyFont="1" applyBorder="1" applyAlignment="1">
      <alignment horizontal="right"/>
    </xf>
    <xf numFmtId="1" fontId="2" fillId="0" borderId="21" xfId="0" applyNumberFormat="1" applyFont="1" applyBorder="1" applyAlignment="1">
      <alignment horizontal="right"/>
    </xf>
    <xf numFmtId="1" fontId="2" fillId="0" borderId="22" xfId="0" applyNumberFormat="1" applyFont="1" applyBorder="1" applyAlignment="1">
      <alignment horizontal="right"/>
    </xf>
    <xf numFmtId="1" fontId="2" fillId="0" borderId="25" xfId="0" applyNumberFormat="1" applyFont="1" applyBorder="1" applyAlignment="1">
      <alignment horizontal="right"/>
    </xf>
    <xf numFmtId="1" fontId="2" fillId="0" borderId="26" xfId="1" applyNumberFormat="1" applyFont="1" applyBorder="1" applyAlignment="1">
      <alignment horizontal="right"/>
    </xf>
    <xf numFmtId="1" fontId="2" fillId="0" borderId="27" xfId="2" applyNumberFormat="1" applyFont="1" applyBorder="1" applyAlignment="1">
      <alignment horizontal="right"/>
    </xf>
    <xf numFmtId="1" fontId="2" fillId="0" borderId="26" xfId="0" applyNumberFormat="1" applyFont="1" applyBorder="1" applyAlignment="1">
      <alignment horizontal="right"/>
    </xf>
    <xf numFmtId="1" fontId="2" fillId="0" borderId="27" xfId="0" applyNumberFormat="1" applyFont="1" applyBorder="1" applyAlignment="1">
      <alignment horizontal="right"/>
    </xf>
    <xf numFmtId="167" fontId="2" fillId="0" borderId="10" xfId="1" applyNumberFormat="1" applyFont="1" applyBorder="1" applyAlignment="1">
      <alignment horizontal="right"/>
    </xf>
    <xf numFmtId="167" fontId="2" fillId="0" borderId="11" xfId="1" applyNumberFormat="1" applyFont="1" applyBorder="1" applyAlignment="1">
      <alignment horizontal="right"/>
    </xf>
    <xf numFmtId="167" fontId="2" fillId="0" borderId="21" xfId="1" applyNumberFormat="1" applyFont="1" applyBorder="1" applyAlignment="1">
      <alignment horizontal="right"/>
    </xf>
    <xf numFmtId="167" fontId="2" fillId="0" borderId="22" xfId="1" applyNumberFormat="1" applyFont="1" applyBorder="1" applyAlignment="1">
      <alignment horizontal="right"/>
    </xf>
    <xf numFmtId="167" fontId="2" fillId="0" borderId="26" xfId="1" applyNumberFormat="1" applyFont="1" applyBorder="1" applyAlignment="1">
      <alignment horizontal="right"/>
    </xf>
    <xf numFmtId="167" fontId="2" fillId="0" borderId="27" xfId="1" applyNumberFormat="1" applyFont="1" applyBorder="1" applyAlignment="1">
      <alignment horizontal="right"/>
    </xf>
    <xf numFmtId="0" fontId="5" fillId="0" borderId="0" xfId="0" applyFont="1"/>
    <xf numFmtId="0" fontId="5" fillId="3" borderId="0" xfId="0" applyFont="1" applyFill="1"/>
    <xf numFmtId="1" fontId="5" fillId="3" borderId="0" xfId="0" applyNumberFormat="1" applyFont="1" applyFill="1" applyAlignment="1">
      <alignment horizontal="right"/>
    </xf>
    <xf numFmtId="1" fontId="5" fillId="3" borderId="0" xfId="1" applyNumberFormat="1" applyFont="1" applyFill="1" applyAlignment="1">
      <alignment horizontal="right"/>
    </xf>
    <xf numFmtId="1" fontId="5" fillId="3" borderId="0" xfId="2" applyNumberFormat="1" applyFont="1" applyFill="1" applyAlignment="1">
      <alignment horizontal="right"/>
    </xf>
    <xf numFmtId="167" fontId="5" fillId="3" borderId="0" xfId="1" applyNumberFormat="1" applyFont="1" applyFill="1" applyAlignment="1">
      <alignment horizontal="right"/>
    </xf>
    <xf numFmtId="1" fontId="5" fillId="3" borderId="0" xfId="1" applyNumberFormat="1" applyFont="1" applyFill="1" applyAlignment="1"/>
    <xf numFmtId="165" fontId="5" fillId="3" borderId="0" xfId="1" applyNumberFormat="1" applyFont="1" applyFill="1" applyAlignment="1">
      <alignment horizontal="right"/>
    </xf>
    <xf numFmtId="166" fontId="5" fillId="3" borderId="0" xfId="2" applyNumberFormat="1" applyFont="1" applyFill="1" applyAlignment="1">
      <alignment horizontal="right"/>
    </xf>
    <xf numFmtId="9" fontId="5" fillId="3" borderId="0" xfId="2" applyFont="1" applyFill="1" applyAlignment="1">
      <alignment horizontal="right"/>
    </xf>
    <xf numFmtId="0" fontId="2" fillId="0" borderId="0" xfId="0" applyFont="1" applyAlignment="1">
      <alignment vertical="top"/>
    </xf>
    <xf numFmtId="0" fontId="5" fillId="2" borderId="7" xfId="0" applyFont="1" applyFill="1" applyBorder="1" applyAlignment="1">
      <alignment horizontal="center" vertical="top"/>
    </xf>
    <xf numFmtId="165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10" fillId="0" borderId="0" xfId="0" applyFont="1"/>
    <xf numFmtId="165" fontId="11" fillId="0" borderId="0" xfId="0" applyNumberFormat="1" applyFont="1"/>
    <xf numFmtId="0" fontId="11" fillId="0" borderId="0" xfId="0" applyFont="1"/>
    <xf numFmtId="165" fontId="12" fillId="0" borderId="0" xfId="0" applyNumberFormat="1" applyFont="1"/>
    <xf numFmtId="0" fontId="12" fillId="0" borderId="0" xfId="0" applyFont="1"/>
    <xf numFmtId="0" fontId="5" fillId="2" borderId="28" xfId="0" applyFont="1" applyFill="1" applyBorder="1" applyAlignment="1">
      <alignment horizontal="center" vertical="center" textRotation="90"/>
    </xf>
    <xf numFmtId="0" fontId="5" fillId="2" borderId="16" xfId="0" applyFont="1" applyFill="1" applyBorder="1" applyAlignment="1">
      <alignment horizontal="center" vertical="center" textRotation="90"/>
    </xf>
    <xf numFmtId="0" fontId="5" fillId="2" borderId="29" xfId="0" applyFont="1" applyFill="1" applyBorder="1" applyAlignment="1">
      <alignment horizontal="center" vertical="center" textRotation="90"/>
    </xf>
    <xf numFmtId="0" fontId="5" fillId="2" borderId="17" xfId="0" applyFont="1" applyFill="1" applyBorder="1" applyAlignment="1">
      <alignment horizontal="center" vertical="center" textRotation="90"/>
    </xf>
    <xf numFmtId="0" fontId="5" fillId="2" borderId="18" xfId="0" applyFont="1" applyFill="1" applyBorder="1" applyAlignment="1">
      <alignment horizontal="center" vertical="center" textRotation="90"/>
    </xf>
    <xf numFmtId="0" fontId="5" fillId="2" borderId="23" xfId="0" applyFont="1" applyFill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BFBD-D4EE-4660-B296-1FD8AB7422CF}">
  <sheetPr>
    <tabColor rgb="FFFF0000"/>
    <pageSetUpPr fitToPage="1"/>
  </sheetPr>
  <dimension ref="B1:P24"/>
  <sheetViews>
    <sheetView tabSelected="1" zoomScaleNormal="100" zoomScaleSheetLayoutView="75" workbookViewId="0">
      <pane ySplit="3" topLeftCell="A4" activePane="bottomLeft" state="frozen"/>
      <selection activeCell="D3" sqref="D3:E3"/>
      <selection pane="bottomLeft" activeCell="G18" sqref="G18"/>
    </sheetView>
  </sheetViews>
  <sheetFormatPr defaultRowHeight="14.4" x14ac:dyDescent="0.3"/>
  <cols>
    <col min="2" max="2" width="3.21875" bestFit="1" customWidth="1"/>
    <col min="3" max="3" width="33.33203125" style="18" customWidth="1"/>
    <col min="4" max="4" width="8" style="1" customWidth="1"/>
    <col min="5" max="5" width="8" style="16" customWidth="1"/>
    <col min="6" max="6" width="8" style="17" customWidth="1"/>
    <col min="7" max="15" width="8" style="1" customWidth="1"/>
    <col min="16" max="16" width="8.21875" style="2" customWidth="1"/>
  </cols>
  <sheetData>
    <row r="1" spans="2:16" s="10" customFormat="1" ht="12.6" thickBot="1" x14ac:dyDescent="0.3">
      <c r="B1" s="3"/>
      <c r="C1" s="73" t="s">
        <v>0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5"/>
      <c r="P1" s="9"/>
    </row>
    <row r="2" spans="2:16" s="61" customFormat="1" ht="12.6" thickBot="1" x14ac:dyDescent="0.35">
      <c r="B2" s="58"/>
      <c r="C2" s="59"/>
      <c r="D2" s="76" t="s">
        <v>1</v>
      </c>
      <c r="E2" s="77"/>
      <c r="F2" s="78"/>
      <c r="G2" s="79" t="s">
        <v>2</v>
      </c>
      <c r="H2" s="80"/>
      <c r="I2" s="80"/>
      <c r="J2" s="81"/>
      <c r="K2" s="79" t="s">
        <v>3</v>
      </c>
      <c r="L2" s="80"/>
      <c r="M2" s="80"/>
      <c r="N2" s="80"/>
      <c r="O2" s="81"/>
      <c r="P2" s="60"/>
    </row>
    <row r="3" spans="2:16" s="10" customFormat="1" ht="143.55000000000001" customHeight="1" thickBot="1" x14ac:dyDescent="0.3">
      <c r="B3" s="3"/>
      <c r="C3" s="4"/>
      <c r="D3" s="5" t="s">
        <v>26</v>
      </c>
      <c r="E3" s="6" t="s">
        <v>27</v>
      </c>
      <c r="F3" s="7" t="s">
        <v>28</v>
      </c>
      <c r="G3" s="5" t="s">
        <v>29</v>
      </c>
      <c r="H3" s="6" t="s">
        <v>30</v>
      </c>
      <c r="I3" s="6" t="s">
        <v>31</v>
      </c>
      <c r="J3" s="7" t="s">
        <v>32</v>
      </c>
      <c r="K3" s="5" t="s">
        <v>4</v>
      </c>
      <c r="L3" s="8" t="s">
        <v>5</v>
      </c>
      <c r="M3" s="8" t="s">
        <v>33</v>
      </c>
      <c r="N3" s="6" t="s">
        <v>34</v>
      </c>
      <c r="O3" s="7" t="s">
        <v>35</v>
      </c>
      <c r="P3" s="9"/>
    </row>
    <row r="4" spans="2:16" s="10" customFormat="1" ht="15.6" customHeight="1" x14ac:dyDescent="0.25">
      <c r="B4" s="70" t="s">
        <v>36</v>
      </c>
      <c r="C4" s="11" t="s">
        <v>6</v>
      </c>
      <c r="D4" s="27">
        <v>21.95</v>
      </c>
      <c r="E4" s="28">
        <v>3.1357142857142857</v>
      </c>
      <c r="F4" s="29">
        <v>1</v>
      </c>
      <c r="G4" s="27">
        <v>1</v>
      </c>
      <c r="H4" s="30">
        <v>1</v>
      </c>
      <c r="I4" s="42">
        <v>68</v>
      </c>
      <c r="J4" s="43">
        <v>184</v>
      </c>
      <c r="K4" s="27" t="s">
        <v>7</v>
      </c>
      <c r="L4" s="30" t="s">
        <v>7</v>
      </c>
      <c r="M4" s="30" t="s">
        <v>7</v>
      </c>
      <c r="N4" s="30">
        <v>1</v>
      </c>
      <c r="O4" s="31">
        <v>0</v>
      </c>
      <c r="P4" s="9"/>
    </row>
    <row r="5" spans="2:16" s="10" customFormat="1" ht="15.6" customHeight="1" x14ac:dyDescent="0.25">
      <c r="B5" s="71"/>
      <c r="C5" s="12" t="s">
        <v>8</v>
      </c>
      <c r="D5" s="32">
        <v>51.45</v>
      </c>
      <c r="E5" s="33">
        <v>2.2369565217391307</v>
      </c>
      <c r="F5" s="34">
        <v>0</v>
      </c>
      <c r="G5" s="32">
        <v>24</v>
      </c>
      <c r="H5" s="35">
        <v>28</v>
      </c>
      <c r="I5" s="44">
        <v>108</v>
      </c>
      <c r="J5" s="45">
        <v>214</v>
      </c>
      <c r="K5" s="32">
        <v>15</v>
      </c>
      <c r="L5" s="22">
        <v>1.4999999999999999E-2</v>
      </c>
      <c r="M5" s="35" t="s">
        <v>7</v>
      </c>
      <c r="N5" s="35">
        <v>8</v>
      </c>
      <c r="O5" s="36">
        <v>5</v>
      </c>
      <c r="P5" s="9"/>
    </row>
    <row r="6" spans="2:16" s="10" customFormat="1" ht="15.6" customHeight="1" x14ac:dyDescent="0.25">
      <c r="B6" s="71"/>
      <c r="C6" s="12" t="s">
        <v>9</v>
      </c>
      <c r="D6" s="32">
        <v>5</v>
      </c>
      <c r="E6" s="33">
        <v>1.25</v>
      </c>
      <c r="F6" s="34">
        <v>0</v>
      </c>
      <c r="G6" s="32">
        <v>26</v>
      </c>
      <c r="H6" s="35">
        <v>19</v>
      </c>
      <c r="I6" s="44">
        <v>5</v>
      </c>
      <c r="J6" s="45">
        <v>113</v>
      </c>
      <c r="K6" s="32" t="s">
        <v>7</v>
      </c>
      <c r="L6" s="35" t="s">
        <v>7</v>
      </c>
      <c r="M6" s="23">
        <v>1</v>
      </c>
      <c r="N6" s="35">
        <v>0</v>
      </c>
      <c r="O6" s="36">
        <v>0</v>
      </c>
      <c r="P6" s="9"/>
    </row>
    <row r="7" spans="2:16" s="10" customFormat="1" ht="15.6" customHeight="1" thickBot="1" x14ac:dyDescent="0.3">
      <c r="B7" s="72"/>
      <c r="C7" s="13" t="s">
        <v>10</v>
      </c>
      <c r="D7" s="37">
        <v>15.4</v>
      </c>
      <c r="E7" s="38">
        <v>1.0266666666666666</v>
      </c>
      <c r="F7" s="39">
        <v>0</v>
      </c>
      <c r="G7" s="37">
        <v>5</v>
      </c>
      <c r="H7" s="40">
        <v>7</v>
      </c>
      <c r="I7" s="46">
        <v>2247</v>
      </c>
      <c r="J7" s="47">
        <v>309</v>
      </c>
      <c r="K7" s="37" t="s">
        <v>7</v>
      </c>
      <c r="L7" s="40" t="s">
        <v>7</v>
      </c>
      <c r="M7" s="40" t="s">
        <v>7</v>
      </c>
      <c r="N7" s="40">
        <v>17</v>
      </c>
      <c r="O7" s="41">
        <v>2</v>
      </c>
      <c r="P7" s="9"/>
    </row>
    <row r="8" spans="2:16" s="10" customFormat="1" ht="15.6" customHeight="1" x14ac:dyDescent="0.25">
      <c r="B8" s="70" t="s">
        <v>37</v>
      </c>
      <c r="C8" s="11" t="s">
        <v>11</v>
      </c>
      <c r="D8" s="27">
        <v>41.45</v>
      </c>
      <c r="E8" s="28">
        <v>3.4541666666666671</v>
      </c>
      <c r="F8" s="29">
        <v>1</v>
      </c>
      <c r="G8" s="27">
        <v>9</v>
      </c>
      <c r="H8" s="30">
        <v>9</v>
      </c>
      <c r="I8" s="42">
        <v>102</v>
      </c>
      <c r="J8" s="43">
        <v>10</v>
      </c>
      <c r="K8" s="27" t="s">
        <v>7</v>
      </c>
      <c r="L8" s="30" t="s">
        <v>7</v>
      </c>
      <c r="M8" s="30" t="s">
        <v>7</v>
      </c>
      <c r="N8" s="30">
        <v>6</v>
      </c>
      <c r="O8" s="31">
        <v>2</v>
      </c>
      <c r="P8" s="9"/>
    </row>
    <row r="9" spans="2:16" s="10" customFormat="1" ht="15.6" customHeight="1" x14ac:dyDescent="0.25">
      <c r="B9" s="71"/>
      <c r="C9" s="12" t="s">
        <v>12</v>
      </c>
      <c r="D9" s="32">
        <v>20.87</v>
      </c>
      <c r="E9" s="33">
        <v>1.0435000000000001</v>
      </c>
      <c r="F9" s="34">
        <v>1</v>
      </c>
      <c r="G9" s="32">
        <v>22</v>
      </c>
      <c r="H9" s="35">
        <v>14</v>
      </c>
      <c r="I9" s="44">
        <v>3185</v>
      </c>
      <c r="J9" s="45">
        <v>233</v>
      </c>
      <c r="K9" s="32" t="s">
        <v>7</v>
      </c>
      <c r="L9" s="35" t="s">
        <v>7</v>
      </c>
      <c r="M9" s="35" t="s">
        <v>7</v>
      </c>
      <c r="N9" s="35">
        <v>1</v>
      </c>
      <c r="O9" s="36">
        <v>9</v>
      </c>
      <c r="P9" s="9"/>
    </row>
    <row r="10" spans="2:16" s="10" customFormat="1" ht="15.6" customHeight="1" x14ac:dyDescent="0.25">
      <c r="B10" s="71"/>
      <c r="C10" s="12" t="s">
        <v>24</v>
      </c>
      <c r="D10" s="32">
        <v>15.5</v>
      </c>
      <c r="E10" s="33">
        <v>2.2142857142857144</v>
      </c>
      <c r="F10" s="34">
        <v>2</v>
      </c>
      <c r="G10" s="32">
        <v>7</v>
      </c>
      <c r="H10" s="35">
        <v>3</v>
      </c>
      <c r="I10" s="44">
        <v>3754</v>
      </c>
      <c r="J10" s="45">
        <v>20</v>
      </c>
      <c r="K10" s="32" t="s">
        <v>7</v>
      </c>
      <c r="L10" s="35" t="s">
        <v>7</v>
      </c>
      <c r="M10" s="35" t="s">
        <v>7</v>
      </c>
      <c r="N10" s="35">
        <v>10</v>
      </c>
      <c r="O10" s="36">
        <v>2</v>
      </c>
      <c r="P10" s="9"/>
    </row>
    <row r="11" spans="2:16" s="10" customFormat="1" ht="15.6" customHeight="1" thickBot="1" x14ac:dyDescent="0.3">
      <c r="B11" s="72"/>
      <c r="C11" s="13" t="s">
        <v>13</v>
      </c>
      <c r="D11" s="37">
        <v>0</v>
      </c>
      <c r="E11" s="38">
        <v>0</v>
      </c>
      <c r="F11" s="39">
        <v>0</v>
      </c>
      <c r="G11" s="37">
        <v>2</v>
      </c>
      <c r="H11" s="40">
        <v>1</v>
      </c>
      <c r="I11" s="46">
        <v>0</v>
      </c>
      <c r="J11" s="47">
        <v>0</v>
      </c>
      <c r="K11" s="37" t="s">
        <v>7</v>
      </c>
      <c r="L11" s="40" t="s">
        <v>7</v>
      </c>
      <c r="M11" s="40" t="s">
        <v>7</v>
      </c>
      <c r="N11" s="40">
        <v>3</v>
      </c>
      <c r="O11" s="41">
        <v>3</v>
      </c>
      <c r="P11" s="9"/>
    </row>
    <row r="12" spans="2:16" s="10" customFormat="1" ht="15.6" customHeight="1" x14ac:dyDescent="0.25">
      <c r="B12" s="67" t="s">
        <v>38</v>
      </c>
      <c r="C12" s="11" t="s">
        <v>20</v>
      </c>
      <c r="D12" s="27">
        <v>9.92</v>
      </c>
      <c r="E12" s="28">
        <v>0.90181818181818185</v>
      </c>
      <c r="F12" s="29">
        <v>0</v>
      </c>
      <c r="G12" s="27">
        <v>5</v>
      </c>
      <c r="H12" s="30">
        <v>5</v>
      </c>
      <c r="I12" s="42">
        <v>94</v>
      </c>
      <c r="J12" s="43">
        <v>109</v>
      </c>
      <c r="K12" s="27" t="s">
        <v>7</v>
      </c>
      <c r="L12" s="30" t="s">
        <v>7</v>
      </c>
      <c r="M12" s="30" t="s">
        <v>7</v>
      </c>
      <c r="N12" s="30">
        <v>0</v>
      </c>
      <c r="O12" s="31">
        <v>0</v>
      </c>
      <c r="P12" s="9"/>
    </row>
    <row r="13" spans="2:16" s="10" customFormat="1" ht="15.6" customHeight="1" x14ac:dyDescent="0.25">
      <c r="B13" s="68"/>
      <c r="C13" s="12" t="s">
        <v>21</v>
      </c>
      <c r="D13" s="32">
        <v>6.6</v>
      </c>
      <c r="E13" s="33">
        <v>0.6</v>
      </c>
      <c r="F13" s="34">
        <v>0</v>
      </c>
      <c r="G13" s="32">
        <v>4</v>
      </c>
      <c r="H13" s="35">
        <v>3</v>
      </c>
      <c r="I13" s="44">
        <v>1912</v>
      </c>
      <c r="J13" s="45">
        <v>156</v>
      </c>
      <c r="K13" s="32" t="s">
        <v>7</v>
      </c>
      <c r="L13" s="35" t="s">
        <v>7</v>
      </c>
      <c r="M13" s="35" t="s">
        <v>7</v>
      </c>
      <c r="N13" s="35">
        <v>0</v>
      </c>
      <c r="O13" s="36">
        <v>0</v>
      </c>
      <c r="P13" s="9"/>
    </row>
    <row r="14" spans="2:16" s="10" customFormat="1" ht="15.6" customHeight="1" x14ac:dyDescent="0.25">
      <c r="B14" s="68"/>
      <c r="C14" s="12" t="s">
        <v>22</v>
      </c>
      <c r="D14" s="32">
        <v>13.33</v>
      </c>
      <c r="E14" s="33">
        <v>2.6659999999999999</v>
      </c>
      <c r="F14" s="34">
        <v>1</v>
      </c>
      <c r="G14" s="32">
        <v>1</v>
      </c>
      <c r="H14" s="35">
        <v>2</v>
      </c>
      <c r="I14" s="44">
        <v>0</v>
      </c>
      <c r="J14" s="45">
        <v>0</v>
      </c>
      <c r="K14" s="32" t="s">
        <v>7</v>
      </c>
      <c r="L14" s="35" t="s">
        <v>7</v>
      </c>
      <c r="M14" s="35" t="s">
        <v>7</v>
      </c>
      <c r="N14" s="35">
        <v>0</v>
      </c>
      <c r="O14" s="36">
        <v>0</v>
      </c>
      <c r="P14" s="9"/>
    </row>
    <row r="15" spans="2:16" s="10" customFormat="1" ht="15.6" customHeight="1" x14ac:dyDescent="0.25">
      <c r="B15" s="68"/>
      <c r="C15" s="12" t="s">
        <v>23</v>
      </c>
      <c r="D15" s="32">
        <v>12.5</v>
      </c>
      <c r="E15" s="33">
        <v>3.125</v>
      </c>
      <c r="F15" s="34">
        <v>0</v>
      </c>
      <c r="G15" s="32">
        <v>2</v>
      </c>
      <c r="H15" s="35">
        <v>8</v>
      </c>
      <c r="I15" s="44">
        <v>130</v>
      </c>
      <c r="J15" s="45">
        <v>15</v>
      </c>
      <c r="K15" s="32" t="s">
        <v>7</v>
      </c>
      <c r="L15" s="35" t="s">
        <v>7</v>
      </c>
      <c r="M15" s="35" t="s">
        <v>7</v>
      </c>
      <c r="N15" s="35">
        <v>0</v>
      </c>
      <c r="O15" s="36">
        <v>0</v>
      </c>
      <c r="P15" s="9"/>
    </row>
    <row r="16" spans="2:16" s="10" customFormat="1" ht="15.45" customHeight="1" thickBot="1" x14ac:dyDescent="0.3">
      <c r="B16" s="69"/>
      <c r="C16" s="13" t="s">
        <v>25</v>
      </c>
      <c r="D16" s="37">
        <v>3</v>
      </c>
      <c r="E16" s="38">
        <v>0.3</v>
      </c>
      <c r="F16" s="39">
        <v>0</v>
      </c>
      <c r="G16" s="37">
        <v>5</v>
      </c>
      <c r="H16" s="40">
        <v>3</v>
      </c>
      <c r="I16" s="46">
        <v>1007</v>
      </c>
      <c r="J16" s="47">
        <v>81</v>
      </c>
      <c r="K16" s="37" t="s">
        <v>7</v>
      </c>
      <c r="L16" s="40" t="s">
        <v>7</v>
      </c>
      <c r="M16" s="40" t="s">
        <v>7</v>
      </c>
      <c r="N16" s="40">
        <v>5</v>
      </c>
      <c r="O16" s="41">
        <v>0</v>
      </c>
      <c r="P16" s="9"/>
    </row>
    <row r="17" spans="2:16" s="64" customFormat="1" ht="12" x14ac:dyDescent="0.25">
      <c r="B17" s="62"/>
      <c r="C17" s="49" t="s">
        <v>15</v>
      </c>
      <c r="D17" s="50">
        <v>272</v>
      </c>
      <c r="E17" s="51">
        <v>2</v>
      </c>
      <c r="F17" s="52">
        <v>13</v>
      </c>
      <c r="G17" s="50">
        <v>150</v>
      </c>
      <c r="H17" s="50">
        <v>60</v>
      </c>
      <c r="I17" s="53">
        <v>12000</v>
      </c>
      <c r="J17" s="53">
        <v>150</v>
      </c>
      <c r="K17" s="50">
        <v>6</v>
      </c>
      <c r="L17" s="52">
        <v>1.4999999999999999E-2</v>
      </c>
      <c r="M17" s="50">
        <v>1</v>
      </c>
      <c r="N17" s="50">
        <v>20</v>
      </c>
      <c r="O17" s="50">
        <v>30</v>
      </c>
      <c r="P17" s="63"/>
    </row>
    <row r="18" spans="2:16" s="66" customFormat="1" ht="12" x14ac:dyDescent="0.25">
      <c r="B18" s="48"/>
      <c r="C18" s="49" t="s">
        <v>14</v>
      </c>
      <c r="D18" s="54">
        <f>SUM(D4:D16)</f>
        <v>216.97</v>
      </c>
      <c r="E18" s="55">
        <f>AVERAGE(E4:E16)</f>
        <v>1.6887775412992805</v>
      </c>
      <c r="F18" s="51">
        <f t="shared" ref="F18:O18" si="0">SUM(F4:F16)</f>
        <v>6</v>
      </c>
      <c r="G18" s="51">
        <f t="shared" si="0"/>
        <v>113</v>
      </c>
      <c r="H18" s="51">
        <f t="shared" si="0"/>
        <v>103</v>
      </c>
      <c r="I18" s="53">
        <f t="shared" si="0"/>
        <v>12612</v>
      </c>
      <c r="J18" s="53">
        <f t="shared" si="0"/>
        <v>1444</v>
      </c>
      <c r="K18" s="51">
        <f t="shared" si="0"/>
        <v>15</v>
      </c>
      <c r="L18" s="56">
        <f t="shared" si="0"/>
        <v>1.4999999999999999E-2</v>
      </c>
      <c r="M18" s="57">
        <f t="shared" si="0"/>
        <v>1</v>
      </c>
      <c r="N18" s="51">
        <f t="shared" si="0"/>
        <v>51</v>
      </c>
      <c r="O18" s="51">
        <f t="shared" si="0"/>
        <v>23</v>
      </c>
      <c r="P18" s="65"/>
    </row>
    <row r="19" spans="2:16" s="64" customFormat="1" ht="12" x14ac:dyDescent="0.25">
      <c r="B19" s="62"/>
      <c r="C19" s="49" t="s">
        <v>19</v>
      </c>
      <c r="D19" s="50">
        <f>D17/13</f>
        <v>20.923076923076923</v>
      </c>
      <c r="E19" s="50">
        <v>2</v>
      </c>
      <c r="F19" s="50">
        <v>1</v>
      </c>
      <c r="G19" s="50">
        <f>G17/13</f>
        <v>11.538461538461538</v>
      </c>
      <c r="H19" s="50">
        <f>H17/13</f>
        <v>4.615384615384615</v>
      </c>
      <c r="I19" s="53">
        <f>I17/13</f>
        <v>923.07692307692309</v>
      </c>
      <c r="J19" s="53">
        <f>J17/13</f>
        <v>11.538461538461538</v>
      </c>
      <c r="K19" s="50" t="s">
        <v>7</v>
      </c>
      <c r="L19" s="50" t="s">
        <v>7</v>
      </c>
      <c r="M19" s="50" t="s">
        <v>7</v>
      </c>
      <c r="N19" s="50">
        <f>N17/13</f>
        <v>1.5384615384615385</v>
      </c>
      <c r="O19" s="50">
        <f>O17/13</f>
        <v>2.3076923076923075</v>
      </c>
      <c r="P19" s="63"/>
    </row>
    <row r="20" spans="2:16" x14ac:dyDescent="0.3">
      <c r="D20" s="24"/>
      <c r="E20" s="25"/>
      <c r="F20" s="26"/>
      <c r="G20" s="24"/>
      <c r="H20" s="24"/>
      <c r="I20" s="24"/>
      <c r="J20" s="24"/>
      <c r="K20" s="24"/>
      <c r="L20" s="24"/>
      <c r="M20" s="24"/>
      <c r="N20" s="24"/>
      <c r="O20" s="24"/>
    </row>
    <row r="21" spans="2:16" ht="18" hidden="1" x14ac:dyDescent="0.35">
      <c r="C21" s="14"/>
      <c r="D21" s="15" t="s">
        <v>16</v>
      </c>
    </row>
    <row r="22" spans="2:16" ht="18" hidden="1" x14ac:dyDescent="0.35">
      <c r="D22" s="19" t="s">
        <v>17</v>
      </c>
    </row>
    <row r="23" spans="2:16" ht="21" hidden="1" x14ac:dyDescent="0.4">
      <c r="D23" s="20" t="s">
        <v>18</v>
      </c>
    </row>
    <row r="24" spans="2:16" hidden="1" x14ac:dyDescent="0.3">
      <c r="C24" s="21"/>
    </row>
  </sheetData>
  <mergeCells count="7">
    <mergeCell ref="B12:B16"/>
    <mergeCell ref="B4:B7"/>
    <mergeCell ref="B8:B11"/>
    <mergeCell ref="C1:O1"/>
    <mergeCell ref="D2:F2"/>
    <mergeCell ref="G2:J2"/>
    <mergeCell ref="K2:O2"/>
  </mergeCells>
  <conditionalFormatting sqref="D4:D16">
    <cfRule type="colorScale" priority="234">
      <colorScale>
        <cfvo type="min"/>
        <cfvo type="formula" val="$D$19/2"/>
        <cfvo type="formula" val="$D$19"/>
        <color rgb="FFFF0000"/>
        <color rgb="FFFFFF00"/>
        <color rgb="FF00B050"/>
      </colorScale>
    </cfRule>
  </conditionalFormatting>
  <conditionalFormatting sqref="E4:E16">
    <cfRule type="colorScale" priority="245">
      <colorScale>
        <cfvo type="min"/>
        <cfvo type="num" val="$E$19/2"/>
        <cfvo type="formula" val="$E$19"/>
        <color rgb="FFFF0000"/>
        <color rgb="FFFFFF00"/>
        <color rgb="FF00B050"/>
      </colorScale>
    </cfRule>
  </conditionalFormatting>
  <conditionalFormatting sqref="F4:F16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5">
      <colorScale>
        <cfvo type="num" val="0"/>
        <cfvo type="num" val="0.5"/>
        <cfvo type="formula" val="$F$19"/>
        <color rgb="FFFF0000"/>
        <color rgb="FFFFFF00"/>
        <color rgb="FF00B050"/>
      </colorScale>
    </cfRule>
  </conditionalFormatting>
  <conditionalFormatting sqref="G4:G16">
    <cfRule type="colorScale" priority="237">
      <colorScale>
        <cfvo type="min"/>
        <cfvo type="formula" val="$G$19/2"/>
        <cfvo type="formula" val="$G$19"/>
        <color rgb="FFFF0000"/>
        <color rgb="FFFFFF00"/>
        <color rgb="FF00B050"/>
      </colorScale>
    </cfRule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6">
    <cfRule type="colorScale" priority="239">
      <colorScale>
        <cfvo type="min"/>
        <cfvo type="formula" val="$H$19/2"/>
        <cfvo type="formula" val="$H$19"/>
        <color rgb="FFFF0000"/>
        <color rgb="FFFFFF00"/>
        <color rgb="FF00B050"/>
      </colorScale>
    </cfRule>
  </conditionalFormatting>
  <conditionalFormatting sqref="I4:I16">
    <cfRule type="colorScale" priority="240">
      <colorScale>
        <cfvo type="min"/>
        <cfvo type="formula" val="$I$19/2"/>
        <cfvo type="formula" val="$I$19"/>
        <color rgb="FFFF0000"/>
        <color rgb="FFFFFF00"/>
        <color rgb="FF00B050"/>
      </colorScale>
    </cfRule>
  </conditionalFormatting>
  <conditionalFormatting sqref="J4:J16">
    <cfRule type="colorScale" priority="241">
      <colorScale>
        <cfvo type="min"/>
        <cfvo type="formula" val="$J$19/2"/>
        <cfvo type="formula" val="$J$19"/>
        <color rgb="FFFF0000"/>
        <color rgb="FFFFFF00"/>
        <color rgb="FF00B050"/>
      </colorScale>
    </cfRule>
  </conditionalFormatting>
  <conditionalFormatting sqref="K6:L6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72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77">
      <colorScale>
        <cfvo type="min"/>
        <cfvo type="formula" val="MAX(#REF!)/2"/>
        <cfvo type="max"/>
        <color rgb="FFF8696B"/>
        <color rgb="FFFFEB84"/>
        <color rgb="FF63BE7B"/>
      </colorScale>
    </cfRule>
  </conditionalFormatting>
  <conditionalFormatting sqref="K4:M4">
    <cfRule type="colorScale" priority="187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3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83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">
      <colorScale>
        <cfvo type="min"/>
        <cfvo type="formula" val="MAX(#REF!)/2"/>
        <cfvo type="max"/>
        <color rgb="FFF8696B"/>
        <color rgb="FFFFEB84"/>
        <color rgb="FF63BE7B"/>
      </colorScale>
    </cfRule>
  </conditionalFormatting>
  <conditionalFormatting sqref="K7:M16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4">
      <colorScale>
        <cfvo type="min"/>
        <cfvo type="formula" val="0.75"/>
        <cfvo type="max"/>
        <color rgb="FFF8696B"/>
        <color rgb="FF00B050"/>
        <color rgb="FFFFFF00"/>
      </colorScale>
    </cfRule>
    <cfRule type="colorScale" priority="198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99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200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4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 M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">
      <colorScale>
        <cfvo type="min"/>
        <cfvo type="formula" val="MAX($L$4:$L$16)/2"/>
        <cfvo type="max"/>
        <color rgb="FFF8696B"/>
        <color rgb="FFFFEB84"/>
        <color rgb="FF63BE7B"/>
      </colorScale>
    </cfRule>
  </conditionalFormatting>
  <conditionalFormatting sqref="L5">
    <cfRule type="colorScale" priority="87">
      <colorScale>
        <cfvo type="min"/>
        <cfvo type="formula" val="MAX($L$4:$L$16)/2"/>
        <cfvo type="max"/>
        <color rgb="FFF8696B"/>
        <color rgb="FFFFEB84"/>
        <color rgb="FF63BE7B"/>
      </colorScale>
    </cfRule>
  </conditionalFormatting>
  <conditionalFormatting sqref="M5">
    <cfRule type="colorScale" priority="210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211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5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205">
      <colorScale>
        <cfvo type="min"/>
        <cfvo type="formula" val="MAX($K$4:$K$16)/2"/>
        <cfvo type="max"/>
        <color rgb="FFF8696B"/>
        <color rgb="FFFFEB84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9">
      <colorScale>
        <cfvo type="num" val="0"/>
        <cfvo type="num" val="0"/>
        <cfvo type="max"/>
        <color rgb="FF63BE7B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 K5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formula" val="MAX($K$4:$K$16)/2"/>
        <cfvo type="max"/>
        <color rgb="FFF8696B"/>
        <color rgb="FFFFEB84"/>
        <color rgb="FF63BE7B"/>
      </colorScale>
    </cfRule>
  </conditionalFormatting>
  <conditionalFormatting sqref="N4:N16">
    <cfRule type="colorScale" priority="242">
      <colorScale>
        <cfvo type="min"/>
        <cfvo type="formula" val="$N$19/2"/>
        <cfvo type="formula" val="$N$19"/>
        <color rgb="FFFF0000"/>
        <color rgb="FFFFFF00"/>
        <color rgb="FF00B050"/>
      </colorScale>
    </cfRule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6">
    <cfRule type="colorScale" priority="244">
      <colorScale>
        <cfvo type="min"/>
        <cfvo type="formula" val="$O$19/2"/>
        <cfvo type="formula" val="$O$19"/>
        <color rgb="FFFF0000"/>
        <color rgb="FFFFFF00"/>
        <color rgb="FF00B050"/>
      </colorScale>
    </cfRule>
  </conditionalFormatting>
  <pageMargins left="0.7" right="0.7" top="0.75" bottom="0.75" header="0.3" footer="0.3"/>
  <pageSetup paperSize="8" scale="60" orientation="landscape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Res, Cap, Product</vt:lpstr>
      <vt:lpstr>'Res, Cap, Product'!Print_Area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2026-04-08T13:52:03Z</dcterms:created>
  <dcterms:modified xsi:type="dcterms:W3CDTF">2026-04-14T10:03:36Z</dcterms:modified>
</cp:coreProperties>
</file>