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195" yWindow="1395" windowWidth="27000" windowHeight="15735" tabRatio="600" firstSheet="0" activeTab="0" autoFilterDateGrouping="1"/>
  </bookViews>
  <sheets>
    <sheet name="Res, Cap, Product" sheetId="1" state="visible" r:id="rId1"/>
  </sheets>
  <definedNames>
    <definedName name="_Hlk200085589" localSheetId="0">'Res, Cap, Product'!#REF!</definedName>
    <definedName name="_xlnm.Print_Area" localSheetId="0">'Res, Cap, Product'!$B$1:$P$19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_(* #,##0_);_(* \(#,##0\);_(* &quot;-&quot;??_);_(@_)"/>
    <numFmt numFmtId="167" formatCode="_(* #,##0.0_);_(* \(#,##0.0\);_(* &quot;-&quot;??_);_(@_)"/>
  </numFmts>
  <fonts count="2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rgb="FF0070C0"/>
      <sz val="18"/>
    </font>
    <font>
      <name val="Calibri"/>
      <family val="2"/>
      <color theme="1"/>
      <sz val="9"/>
    </font>
    <font>
      <name val="Calibri"/>
      <family val="2"/>
      <color theme="1"/>
      <sz val="14"/>
    </font>
    <font>
      <name val="Calibri"/>
      <family val="2"/>
      <b val="1"/>
      <color rgb="FF00B0F0"/>
      <sz val="14"/>
    </font>
    <font>
      <name val="Calibri"/>
      <family val="2"/>
      <b val="1"/>
      <color rgb="FF0070C0"/>
      <sz val="14"/>
    </font>
    <font>
      <name val="Aptos Narrow"/>
      <family val="2"/>
      <color theme="1"/>
      <sz val="14"/>
      <scheme val="minor"/>
    </font>
    <font>
      <name val="Calibri"/>
      <family val="2"/>
      <color rgb="FF000000"/>
      <sz val="9"/>
    </font>
    <font>
      <name val="Aptos Narrow"/>
      <family val="2"/>
      <color theme="1"/>
      <sz val="9"/>
      <scheme val="minor"/>
    </font>
    <font>
      <name val="Calibri"/>
      <family val="2"/>
      <b val="1"/>
      <color rgb="FF0070C0"/>
      <sz val="10"/>
    </font>
    <font>
      <name val="Calibri"/>
      <family val="2"/>
      <b val="1"/>
      <color rgb="FF00B050"/>
      <sz val="11"/>
    </font>
    <font>
      <name val="Calibri"/>
      <family val="2"/>
      <b val="1"/>
      <color rgb="FF00B050"/>
      <sz val="9"/>
    </font>
    <font>
      <name val="Aptos Narrow"/>
      <family val="2"/>
      <b val="1"/>
      <color rgb="FF00B050"/>
      <sz val="11"/>
      <scheme val="minor"/>
    </font>
    <font>
      <name val="Aptos Narrow"/>
      <family val="2"/>
      <b val="1"/>
      <color rgb="FF0070C0"/>
      <sz val="11"/>
      <scheme val="minor"/>
    </font>
    <font>
      <name val="Calibri"/>
      <family val="2"/>
      <b val="1"/>
      <color rgb="FF0070C0"/>
      <sz val="9"/>
    </font>
    <font>
      <name val="Calibri"/>
      <family val="2"/>
      <b val="1"/>
      <color rgb="FF0070C0"/>
      <sz val="8"/>
    </font>
    <font>
      <name val="Calibri"/>
      <family val="2"/>
      <b val="1"/>
      <color theme="1"/>
      <sz val="9"/>
    </font>
    <font>
      <name val="Calibri"/>
      <family val="2"/>
      <b val="1"/>
      <color rgb="FFFF0000"/>
      <sz val="14"/>
    </font>
    <font>
      <name val="Calibri"/>
      <family val="2"/>
      <color rgb="FFFF0000"/>
      <sz val="14"/>
    </font>
    <font>
      <name val="Calibri"/>
      <family val="2"/>
      <color rgb="FFFF0000"/>
      <sz val="16"/>
    </font>
    <font>
      <name val="Calibri"/>
      <family val="2"/>
      <color rgb="FFFF0000"/>
      <sz val="9"/>
    </font>
  </fonts>
  <fills count="3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</fills>
  <borders count="29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thin">
        <color rgb="FF00B050"/>
      </bottom>
      <diagonal/>
    </border>
    <border>
      <left/>
      <right/>
      <top style="medium">
        <color theme="1"/>
      </top>
      <bottom/>
      <diagonal/>
    </border>
    <border>
      <left/>
      <right style="thin">
        <color indexed="64"/>
      </right>
      <top style="medium">
        <color theme="1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75">
    <xf numFmtId="0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164" fontId="0" fillId="0" borderId="0" pivotButton="0" quotePrefix="0" xfId="0"/>
    <xf numFmtId="0" fontId="5" fillId="0" borderId="0" applyAlignment="1" pivotButton="0" quotePrefix="0" xfId="0">
      <alignment vertical="top"/>
    </xf>
    <xf numFmtId="0" fontId="6" fillId="2" borderId="3" applyAlignment="1" pivotButton="0" quotePrefix="0" xfId="0">
      <alignment horizontal="center" vertical="top"/>
    </xf>
    <xf numFmtId="0" fontId="5" fillId="0" borderId="0" applyAlignment="1" pivotButton="0" quotePrefix="0" xfId="0">
      <alignment horizontal="center" vertical="top"/>
    </xf>
    <xf numFmtId="164" fontId="8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4" fillId="0" borderId="0" pivotButton="0" quotePrefix="0" xfId="0"/>
    <xf numFmtId="0" fontId="4" fillId="0" borderId="8" applyAlignment="1" pivotButton="0" quotePrefix="0" xfId="0">
      <alignment horizontal="left" vertical="top"/>
    </xf>
    <xf numFmtId="0" fontId="9" fillId="0" borderId="9" applyAlignment="1" pivotButton="0" quotePrefix="0" xfId="0">
      <alignment horizontal="center" textRotation="90" wrapText="1" readingOrder="1"/>
    </xf>
    <xf numFmtId="0" fontId="9" fillId="0" borderId="10" applyAlignment="1" pivotButton="0" quotePrefix="0" xfId="0">
      <alignment horizontal="center" textRotation="90" wrapText="1" readingOrder="1"/>
    </xf>
    <xf numFmtId="0" fontId="9" fillId="0" borderId="11" applyAlignment="1" pivotButton="0" quotePrefix="0" xfId="0">
      <alignment horizontal="center" textRotation="90" wrapText="1" readingOrder="1"/>
    </xf>
    <xf numFmtId="0" fontId="4" fillId="0" borderId="10" applyAlignment="1" pivotButton="0" quotePrefix="0" xfId="0">
      <alignment horizontal="center" textRotation="90" wrapText="1" readingOrder="1"/>
    </xf>
    <xf numFmtId="0" fontId="4" fillId="0" borderId="0" applyAlignment="1" pivotButton="0" quotePrefix="0" xfId="0">
      <alignment horizontal="center" readingOrder="1"/>
    </xf>
    <xf numFmtId="164" fontId="10" fillId="0" borderId="0" pivotButton="0" quotePrefix="0" xfId="0"/>
    <xf numFmtId="0" fontId="10" fillId="0" borderId="0" pivotButton="0" quotePrefix="0" xfId="0"/>
    <xf numFmtId="0" fontId="9" fillId="0" borderId="4" applyAlignment="1" pivotButton="0" quotePrefix="0" xfId="0">
      <alignment horizontal="left" vertical="center" wrapText="1"/>
    </xf>
    <xf numFmtId="164" fontId="4" fillId="0" borderId="5" applyAlignment="1" pivotButton="0" quotePrefix="0" xfId="0">
      <alignment horizontal="center"/>
    </xf>
    <xf numFmtId="164" fontId="4" fillId="0" borderId="6" applyAlignment="1" pivotButton="0" quotePrefix="0" xfId="1">
      <alignment horizontal="center"/>
    </xf>
    <xf numFmtId="164" fontId="4" fillId="0" borderId="7" applyAlignment="1" pivotButton="0" quotePrefix="0" xfId="2">
      <alignment horizontal="center"/>
    </xf>
    <xf numFmtId="164" fontId="4" fillId="0" borderId="6" applyAlignment="1" pivotButton="0" quotePrefix="0" xfId="0">
      <alignment horizontal="center"/>
    </xf>
    <xf numFmtId="164" fontId="4" fillId="0" borderId="7" applyAlignment="1" pivotButton="0" quotePrefix="0" xfId="0">
      <alignment horizontal="center"/>
    </xf>
    <xf numFmtId="0" fontId="9" fillId="0" borderId="14" applyAlignment="1" pivotButton="0" quotePrefix="0" xfId="0">
      <alignment horizontal="left" vertical="center" wrapText="1"/>
    </xf>
    <xf numFmtId="164" fontId="4" fillId="0" borderId="15" applyAlignment="1" pivotButton="0" quotePrefix="0" xfId="0">
      <alignment horizontal="center"/>
    </xf>
    <xf numFmtId="164" fontId="4" fillId="0" borderId="16" applyAlignment="1" pivotButton="0" quotePrefix="0" xfId="1">
      <alignment horizontal="center"/>
    </xf>
    <xf numFmtId="164" fontId="4" fillId="0" borderId="17" applyAlignment="1" pivotButton="0" quotePrefix="0" xfId="2">
      <alignment horizontal="center"/>
    </xf>
    <xf numFmtId="164" fontId="4" fillId="0" borderId="16" applyAlignment="1" pivotButton="0" quotePrefix="0" xfId="0">
      <alignment horizontal="center"/>
    </xf>
    <xf numFmtId="164" fontId="4" fillId="0" borderId="17" applyAlignment="1" pivotButton="0" quotePrefix="0" xfId="0">
      <alignment horizontal="center"/>
    </xf>
    <xf numFmtId="165" fontId="4" fillId="0" borderId="16" applyAlignment="1" pivotButton="0" quotePrefix="0" xfId="2">
      <alignment horizontal="left" indent="1"/>
    </xf>
    <xf numFmtId="9" fontId="4" fillId="0" borderId="16" applyAlignment="1" pivotButton="0" quotePrefix="0" xfId="2">
      <alignment horizontal="center"/>
    </xf>
    <xf numFmtId="0" fontId="9" fillId="0" borderId="18" applyAlignment="1" pivotButton="0" quotePrefix="0" xfId="0">
      <alignment horizontal="left" vertical="center" wrapText="1"/>
    </xf>
    <xf numFmtId="164" fontId="4" fillId="0" borderId="19" applyAlignment="1" pivotButton="0" quotePrefix="0" xfId="0">
      <alignment horizontal="center"/>
    </xf>
    <xf numFmtId="164" fontId="4" fillId="0" borderId="20" applyAlignment="1" pivotButton="0" quotePrefix="0" xfId="1">
      <alignment horizontal="center"/>
    </xf>
    <xf numFmtId="164" fontId="4" fillId="0" borderId="21" applyAlignment="1" pivotButton="0" quotePrefix="0" xfId="2">
      <alignment horizontal="center"/>
    </xf>
    <xf numFmtId="164" fontId="4" fillId="0" borderId="20" applyAlignment="1" pivotButton="0" quotePrefix="0" xfId="0">
      <alignment horizontal="center"/>
    </xf>
    <xf numFmtId="164" fontId="4" fillId="0" borderId="21" applyAlignment="1" pivotButton="0" quotePrefix="0" xfId="0">
      <alignment horizontal="center"/>
    </xf>
    <xf numFmtId="0" fontId="12" fillId="0" borderId="0" pivotButton="0" quotePrefix="0" xfId="0"/>
    <xf numFmtId="0" fontId="13" fillId="0" borderId="0" pivotButton="0" quotePrefix="0" xfId="0"/>
    <xf numFmtId="166" fontId="13" fillId="0" borderId="0" pivotButton="0" quotePrefix="0" xfId="1"/>
    <xf numFmtId="167" fontId="13" fillId="0" borderId="0" pivotButton="0" quotePrefix="0" xfId="1"/>
    <xf numFmtId="9" fontId="13" fillId="0" borderId="0" pivotButton="0" quotePrefix="0" xfId="2"/>
    <xf numFmtId="164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6" fontId="16" fillId="0" borderId="0" pivotButton="0" quotePrefix="0" xfId="1"/>
    <xf numFmtId="0" fontId="16" fillId="0" borderId="0" pivotButton="0" quotePrefix="0" xfId="2"/>
    <xf numFmtId="166" fontId="17" fillId="0" borderId="0" pivotButton="0" quotePrefix="0" xfId="1"/>
    <xf numFmtId="10" fontId="16" fillId="0" borderId="0" pivotButton="0" quotePrefix="0" xfId="2"/>
    <xf numFmtId="9" fontId="16" fillId="0" borderId="0" pivotButton="0" quotePrefix="0" xfId="0"/>
    <xf numFmtId="0" fontId="16" fillId="0" borderId="0" applyAlignment="1" pivotButton="0" quotePrefix="0" xfId="0">
      <alignment horizontal="center"/>
    </xf>
    <xf numFmtId="164" fontId="15" fillId="0" borderId="0" pivotButton="0" quotePrefix="0" xfId="0"/>
    <xf numFmtId="2" fontId="16" fillId="0" borderId="0" pivotButton="0" quotePrefix="0" xfId="0"/>
    <xf numFmtId="0" fontId="18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66" fontId="4" fillId="0" borderId="0" pivotButton="0" quotePrefix="0" xfId="1"/>
    <xf numFmtId="9" fontId="4" fillId="0" borderId="0" applyAlignment="1" pivotButton="0" quotePrefix="0" xfId="2">
      <alignment horizontal="center"/>
    </xf>
    <xf numFmtId="0" fontId="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7" fillId="2" borderId="2" applyAlignment="1" pivotButton="0" quotePrefix="0" xfId="0">
      <alignment horizontal="center" vertical="top"/>
    </xf>
    <xf numFmtId="0" fontId="0" fillId="0" borderId="27" pivotButton="0" quotePrefix="0" xfId="0"/>
    <xf numFmtId="0" fontId="0" fillId="0" borderId="28" pivotButton="0" quotePrefix="0" xfId="0"/>
    <xf numFmtId="0" fontId="11" fillId="2" borderId="13" applyAlignment="1" pivotButton="0" quotePrefix="0" xfId="0">
      <alignment horizontal="center" vertical="center" textRotation="90"/>
    </xf>
    <xf numFmtId="0" fontId="0" fillId="0" borderId="12" pivotButton="0" quotePrefix="0" xfId="0"/>
    <xf numFmtId="0" fontId="0" fillId="0" borderId="24" pivotButton="0" quotePrefix="0" xfId="0"/>
    <xf numFmtId="0" fontId="7" fillId="2" borderId="2" applyAlignment="1" pivotButton="0" quotePrefix="0" xfId="0">
      <alignment horizontal="center" vertical="top" wrapText="1"/>
    </xf>
    <xf numFmtId="0" fontId="11" fillId="2" borderId="23" applyAlignment="1" pivotButton="0" quotePrefix="0" xfId="0">
      <alignment horizontal="center" vertical="center" textRotation="90"/>
    </xf>
    <xf numFmtId="0" fontId="0" fillId="0" borderId="22" pivotButton="0" quotePrefix="0" xfId="0"/>
    <xf numFmtId="0" fontId="3" fillId="2" borderId="1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U24"/>
  <sheetViews>
    <sheetView tabSelected="1" zoomScaleNormal="100" zoomScaleSheetLayoutView="75" workbookViewId="0">
      <pane ySplit="3" topLeftCell="A4" activePane="bottomLeft" state="frozen"/>
      <selection activeCell="D3" sqref="D3:E3"/>
      <selection pane="bottomLeft" activeCell="K3" sqref="K3"/>
    </sheetView>
  </sheetViews>
  <sheetFormatPr baseColWidth="8" defaultRowHeight="14.4"/>
  <cols>
    <col width="4.21875" customWidth="1" min="1" max="1"/>
    <col width="3.21875" bestFit="1" customWidth="1" min="2" max="2"/>
    <col width="24.88671875" bestFit="1" customWidth="1" style="59" min="3" max="3"/>
    <col width="8" customWidth="1" style="2" min="4" max="4"/>
    <col width="8" customWidth="1" style="57" min="5" max="5"/>
    <col width="8" customWidth="1" style="58" min="6" max="6"/>
    <col width="8" customWidth="1" style="2" min="7" max="15"/>
    <col width="9.33203125" customWidth="1" style="2" min="16" max="16"/>
    <col width="8.21875" customWidth="1" style="3" min="17" max="21"/>
  </cols>
  <sheetData>
    <row r="1" ht="24" customHeight="1" thickBot="1">
      <c r="A1" s="1" t="n"/>
      <c r="B1" s="1" t="n"/>
      <c r="C1" s="72" t="inlineStr">
        <is>
          <t>KPI by Nr.</t>
        </is>
      </c>
      <c r="D1" s="73" t="n"/>
      <c r="E1" s="73" t="n"/>
      <c r="F1" s="73" t="n"/>
      <c r="G1" s="73" t="n"/>
      <c r="H1" s="73" t="n"/>
      <c r="I1" s="73" t="n"/>
      <c r="J1" s="73" t="n"/>
      <c r="K1" s="73" t="n"/>
      <c r="L1" s="73" t="n"/>
      <c r="M1" s="73" t="n"/>
      <c r="N1" s="73" t="n"/>
      <c r="O1" s="74" t="n"/>
    </row>
    <row r="2" ht="18.6" customFormat="1" customHeight="1" s="8" thickBot="1">
      <c r="A2" s="4" t="n"/>
      <c r="B2" s="4" t="n"/>
      <c r="C2" s="5" t="n"/>
      <c r="D2" s="63" t="inlineStr">
        <is>
          <t>Research Outputs</t>
        </is>
      </c>
      <c r="E2" s="64" t="n"/>
      <c r="F2" s="65" t="n"/>
      <c r="G2" s="69" t="inlineStr">
        <is>
          <t>Training and Capacity Building</t>
        </is>
      </c>
      <c r="H2" s="64" t="n"/>
      <c r="I2" s="64" t="n"/>
      <c r="J2" s="65" t="n"/>
      <c r="K2" s="69" t="inlineStr">
        <is>
          <t>Product Development</t>
        </is>
      </c>
      <c r="L2" s="64" t="n"/>
      <c r="M2" s="64" t="n"/>
      <c r="N2" s="64" t="n"/>
      <c r="O2" s="65" t="n"/>
      <c r="P2" s="6" t="n"/>
      <c r="Q2" s="7" t="n"/>
      <c r="R2" s="7" t="n"/>
      <c r="S2" s="7" t="n"/>
      <c r="T2" s="7" t="n"/>
      <c r="U2" s="7" t="n"/>
    </row>
    <row r="3" ht="143.55" customFormat="1" customHeight="1" s="17" thickBot="1">
      <c r="A3" s="9" t="n"/>
      <c r="B3" s="9" t="n"/>
      <c r="C3" s="10" t="n"/>
      <c r="D3" s="11" t="inlineStr">
        <is>
          <t>Thomson indexed publications</t>
        </is>
      </c>
      <c r="E3" s="12" t="inlineStr">
        <is>
          <t>Publications per IRS</t>
        </is>
      </c>
      <c r="F3" s="13" t="inlineStr">
        <is>
          <t>High impact publications</t>
        </is>
      </c>
      <c r="G3" s="11" t="inlineStr">
        <is>
          <t>PhD and MsC  students enrolled</t>
        </is>
      </c>
      <c r="H3" s="12" t="inlineStr">
        <is>
          <t>PhD and MsC  theses completed</t>
        </is>
      </c>
      <c r="I3" s="12" t="inlineStr">
        <is>
          <t>Stakeholders trained on innovations</t>
        </is>
      </c>
      <c r="J3" s="13" t="inlineStr">
        <is>
          <t>Training to NARES by IITA Scientists</t>
        </is>
      </c>
      <c r="K3" s="11" t="inlineStr">
        <is>
          <t>Varieties released</t>
        </is>
      </c>
      <c r="L3" s="14" t="inlineStr">
        <is>
          <t>Genetic gain rate</t>
        </is>
      </c>
      <c r="M3" s="14" t="inlineStr">
        <is>
          <t>Crop Trust compliance rate</t>
        </is>
      </c>
      <c r="N3" s="12" t="inlineStr">
        <is>
          <t>Innovations in e-Catalogue</t>
        </is>
      </c>
      <c r="O3" s="13" t="inlineStr">
        <is>
          <t>Innovations taken on by scaling partners</t>
        </is>
      </c>
      <c r="P3" s="15" t="n"/>
      <c r="Q3" s="16" t="n"/>
      <c r="R3" s="16" t="n"/>
      <c r="S3" s="16" t="n"/>
      <c r="T3" s="16" t="n"/>
      <c r="U3" s="16" t="n"/>
    </row>
    <row r="4" ht="15.6" customHeight="1">
      <c r="A4" s="1" t="n"/>
      <c r="B4" s="66" t="inlineStr">
        <is>
          <t>GI</t>
        </is>
      </c>
      <c r="C4" s="18" t="inlineStr">
        <is>
          <t>Biotech</t>
        </is>
      </c>
      <c r="D4" s="19" t="n">
        <v>21.95</v>
      </c>
      <c r="E4" s="20" t="n">
        <v>3.135714285714286</v>
      </c>
      <c r="F4" s="21" t="n">
        <v>1</v>
      </c>
      <c r="G4" s="19" t="n">
        <v>1</v>
      </c>
      <c r="H4" s="22" t="n">
        <v>1</v>
      </c>
      <c r="I4" s="22" t="n">
        <v>68</v>
      </c>
      <c r="J4" s="23" t="n">
        <v>184</v>
      </c>
      <c r="K4" s="19" t="inlineStr">
        <is>
          <t>N/A</t>
        </is>
      </c>
      <c r="L4" s="22" t="inlineStr">
        <is>
          <t>N/A</t>
        </is>
      </c>
      <c r="M4" s="22" t="inlineStr">
        <is>
          <t>N/A</t>
        </is>
      </c>
      <c r="N4" s="22" t="n">
        <v>1</v>
      </c>
      <c r="O4" s="23" t="n">
        <v>0</v>
      </c>
    </row>
    <row r="5" ht="15.6" customHeight="1">
      <c r="A5" s="1" t="n"/>
      <c r="B5" s="67" t="n"/>
      <c r="C5" s="24" t="inlineStr">
        <is>
          <t>Breeding</t>
        </is>
      </c>
      <c r="D5" s="25" t="n">
        <v>51.45</v>
      </c>
      <c r="E5" s="26" t="n">
        <v>2.236956521739131</v>
      </c>
      <c r="F5" s="27" t="n">
        <v>0</v>
      </c>
      <c r="G5" s="25" t="n">
        <v>24</v>
      </c>
      <c r="H5" s="28" t="n">
        <v>28</v>
      </c>
      <c r="I5" s="28" t="n">
        <v>108</v>
      </c>
      <c r="J5" s="29" t="n">
        <v>214</v>
      </c>
      <c r="K5" s="25" t="n">
        <v>15</v>
      </c>
      <c r="L5" s="30" t="n">
        <v>0.015</v>
      </c>
      <c r="M5" s="28" t="inlineStr">
        <is>
          <t>N/A</t>
        </is>
      </c>
      <c r="N5" s="28" t="n">
        <v>8</v>
      </c>
      <c r="O5" s="29" t="n">
        <v>5</v>
      </c>
    </row>
    <row r="6" ht="15.6" customHeight="1">
      <c r="A6" s="1" t="n"/>
      <c r="B6" s="67" t="n"/>
      <c r="C6" s="24" t="inlineStr">
        <is>
          <t>Genebanks</t>
        </is>
      </c>
      <c r="D6" s="25" t="n">
        <v>5</v>
      </c>
      <c r="E6" s="26" t="n">
        <v>1.25</v>
      </c>
      <c r="F6" s="27" t="n">
        <v>0</v>
      </c>
      <c r="G6" s="25" t="n">
        <v>26</v>
      </c>
      <c r="H6" s="28" t="n">
        <v>19</v>
      </c>
      <c r="I6" s="28" t="n">
        <v>5</v>
      </c>
      <c r="J6" s="29" t="n">
        <v>113</v>
      </c>
      <c r="K6" s="25" t="inlineStr">
        <is>
          <t>N/A</t>
        </is>
      </c>
      <c r="L6" s="28" t="inlineStr">
        <is>
          <t>N/A</t>
        </is>
      </c>
      <c r="M6" s="31" t="n">
        <v>1</v>
      </c>
      <c r="N6" s="28" t="n">
        <v>0</v>
      </c>
      <c r="O6" s="29" t="n">
        <v>0</v>
      </c>
    </row>
    <row r="7" ht="15.6" customHeight="1" thickBot="1">
      <c r="A7" s="1" t="n"/>
      <c r="B7" s="68" t="n"/>
      <c r="C7" s="32" t="inlineStr">
        <is>
          <t>Seed System</t>
        </is>
      </c>
      <c r="D7" s="33" t="n">
        <v>15.4</v>
      </c>
      <c r="E7" s="34" t="n">
        <v>1.026666666666667</v>
      </c>
      <c r="F7" s="35" t="n">
        <v>0</v>
      </c>
      <c r="G7" s="33" t="n">
        <v>5</v>
      </c>
      <c r="H7" s="36" t="n">
        <v>7</v>
      </c>
      <c r="I7" s="36" t="n">
        <v>2247</v>
      </c>
      <c r="J7" s="37" t="n">
        <v>309</v>
      </c>
      <c r="K7" s="33" t="inlineStr">
        <is>
          <t>N/A</t>
        </is>
      </c>
      <c r="L7" s="36" t="inlineStr">
        <is>
          <t>N/A</t>
        </is>
      </c>
      <c r="M7" s="36" t="inlineStr">
        <is>
          <t>N/A</t>
        </is>
      </c>
      <c r="N7" s="36" t="n">
        <v>17</v>
      </c>
      <c r="O7" s="37" t="n">
        <v>2</v>
      </c>
    </row>
    <row r="8" ht="15.6" customHeight="1">
      <c r="A8" s="1" t="n"/>
      <c r="B8" s="66" t="inlineStr">
        <is>
          <t>RAFS</t>
        </is>
      </c>
      <c r="C8" s="18" t="inlineStr">
        <is>
          <t>Plant Health</t>
        </is>
      </c>
      <c r="D8" s="19" t="n">
        <v>41.45</v>
      </c>
      <c r="E8" s="20" t="n">
        <v>3.454166666666667</v>
      </c>
      <c r="F8" s="21" t="n">
        <v>1</v>
      </c>
      <c r="G8" s="19" t="n">
        <v>9</v>
      </c>
      <c r="H8" s="22" t="n">
        <v>9</v>
      </c>
      <c r="I8" s="22" t="n">
        <v>102</v>
      </c>
      <c r="J8" s="23" t="n">
        <v>10</v>
      </c>
      <c r="K8" s="19" t="inlineStr">
        <is>
          <t>N/A</t>
        </is>
      </c>
      <c r="L8" s="22" t="inlineStr">
        <is>
          <t>N/A</t>
        </is>
      </c>
      <c r="M8" s="22" t="inlineStr">
        <is>
          <t>N/A</t>
        </is>
      </c>
      <c r="N8" s="22" t="n">
        <v>6</v>
      </c>
      <c r="O8" s="23" t="n">
        <v>2</v>
      </c>
    </row>
    <row r="9" ht="15.6" customHeight="1">
      <c r="A9" s="1" t="n"/>
      <c r="B9" s="67" t="n"/>
      <c r="C9" s="24" t="inlineStr">
        <is>
          <t>Farming Systems Agronomy</t>
        </is>
      </c>
      <c r="D9" s="25" t="n">
        <v>20.87</v>
      </c>
      <c r="E9" s="26" t="n">
        <v>1.0435</v>
      </c>
      <c r="F9" s="27" t="n">
        <v>1</v>
      </c>
      <c r="G9" s="25" t="n">
        <v>22</v>
      </c>
      <c r="H9" s="28" t="n">
        <v>14</v>
      </c>
      <c r="I9" s="28" t="n">
        <v>3185</v>
      </c>
      <c r="J9" s="29" t="n">
        <v>233</v>
      </c>
      <c r="K9" s="25" t="inlineStr">
        <is>
          <t>N/A</t>
        </is>
      </c>
      <c r="L9" s="28" t="inlineStr">
        <is>
          <t>N/A</t>
        </is>
      </c>
      <c r="M9" s="28" t="inlineStr">
        <is>
          <t>N/A</t>
        </is>
      </c>
      <c r="N9" s="28" t="n">
        <v>1</v>
      </c>
      <c r="O9" s="29" t="n">
        <v>9</v>
      </c>
    </row>
    <row r="10" ht="15.6" customHeight="1">
      <c r="A10" s="1" t="n"/>
      <c r="B10" s="67" t="n"/>
      <c r="C10" s="24" t="inlineStr">
        <is>
          <t>NRM</t>
        </is>
      </c>
      <c r="D10" s="25" t="n">
        <v>15.5</v>
      </c>
      <c r="E10" s="26" t="n">
        <v>2.214285714285714</v>
      </c>
      <c r="F10" s="27" t="n">
        <v>2</v>
      </c>
      <c r="G10" s="25" t="n">
        <v>7</v>
      </c>
      <c r="H10" s="28" t="n">
        <v>3</v>
      </c>
      <c r="I10" s="28" t="n">
        <v>3754</v>
      </c>
      <c r="J10" s="29" t="n">
        <v>20</v>
      </c>
      <c r="K10" s="25" t="inlineStr">
        <is>
          <t>N/A</t>
        </is>
      </c>
      <c r="L10" s="28" t="inlineStr">
        <is>
          <t>N/A</t>
        </is>
      </c>
      <c r="M10" s="28" t="inlineStr">
        <is>
          <t>N/A</t>
        </is>
      </c>
      <c r="N10" s="28" t="n">
        <v>10</v>
      </c>
      <c r="O10" s="29" t="n">
        <v>2</v>
      </c>
    </row>
    <row r="11" ht="15.6" customHeight="1" thickBot="1">
      <c r="A11" s="1" t="n"/>
      <c r="B11" s="68" t="n"/>
      <c r="C11" s="32" t="inlineStr">
        <is>
          <t>Mechanization</t>
        </is>
      </c>
      <c r="D11" s="33" t="n">
        <v>0</v>
      </c>
      <c r="E11" s="34" t="n">
        <v>0</v>
      </c>
      <c r="F11" s="35" t="n">
        <v>0</v>
      </c>
      <c r="G11" s="33" t="n">
        <v>2</v>
      </c>
      <c r="H11" s="36" t="n">
        <v>1</v>
      </c>
      <c r="I11" s="36" t="n">
        <v>0</v>
      </c>
      <c r="J11" s="37" t="n">
        <v>0</v>
      </c>
      <c r="K11" s="33" t="inlineStr">
        <is>
          <t>N/A</t>
        </is>
      </c>
      <c r="L11" s="36" t="inlineStr">
        <is>
          <t>N/A</t>
        </is>
      </c>
      <c r="M11" s="36" t="inlineStr">
        <is>
          <t>N/A</t>
        </is>
      </c>
      <c r="N11" s="36" t="n">
        <v>3</v>
      </c>
      <c r="O11" s="37" t="n">
        <v>3</v>
      </c>
    </row>
    <row r="12" ht="15.6" customHeight="1">
      <c r="A12" s="1" t="n"/>
      <c r="B12" s="70" t="inlineStr">
        <is>
          <t>ST</t>
        </is>
      </c>
      <c r="C12" s="18" t="inlineStr">
        <is>
          <t>FIAS</t>
        </is>
      </c>
      <c r="D12" s="19" t="n">
        <v>9.92</v>
      </c>
      <c r="E12" s="20" t="n">
        <v>0.9018181818181819</v>
      </c>
      <c r="F12" s="21" t="n">
        <v>0</v>
      </c>
      <c r="G12" s="19" t="n">
        <v>5</v>
      </c>
      <c r="H12" s="22" t="n">
        <v>5</v>
      </c>
      <c r="I12" s="22" t="n">
        <v>94</v>
      </c>
      <c r="J12" s="23" t="n">
        <v>109</v>
      </c>
      <c r="K12" s="19" t="inlineStr">
        <is>
          <t>N/A</t>
        </is>
      </c>
      <c r="L12" s="22" t="inlineStr">
        <is>
          <t>N/A</t>
        </is>
      </c>
      <c r="M12" s="22" t="inlineStr">
        <is>
          <t>N/A</t>
        </is>
      </c>
      <c r="N12" s="22" t="n">
        <v>0</v>
      </c>
      <c r="O12" s="23" t="n">
        <v>0</v>
      </c>
    </row>
    <row r="13" ht="15.6" customHeight="1">
      <c r="A13" s="1" t="n"/>
      <c r="B13" s="67" t="n"/>
      <c r="C13" s="24" t="inlineStr">
        <is>
          <t>GeYSI</t>
        </is>
      </c>
      <c r="D13" s="25" t="n">
        <v>6.6</v>
      </c>
      <c r="E13" s="26" t="n">
        <v>0.6</v>
      </c>
      <c r="F13" s="27" t="n">
        <v>0</v>
      </c>
      <c r="G13" s="25" t="n">
        <v>4</v>
      </c>
      <c r="H13" s="28" t="n">
        <v>3</v>
      </c>
      <c r="I13" s="28" t="n">
        <v>1912</v>
      </c>
      <c r="J13" s="29" t="n">
        <v>156</v>
      </c>
      <c r="K13" s="25" t="inlineStr">
        <is>
          <t>N/A</t>
        </is>
      </c>
      <c r="L13" s="28" t="inlineStr">
        <is>
          <t>N/A</t>
        </is>
      </c>
      <c r="M13" s="28" t="inlineStr">
        <is>
          <t>N/A</t>
        </is>
      </c>
      <c r="N13" s="28" t="n">
        <v>0</v>
      </c>
      <c r="O13" s="29" t="n">
        <v>0</v>
      </c>
    </row>
    <row r="14" ht="15.6" customHeight="1">
      <c r="A14" s="1" t="n"/>
      <c r="B14" s="67" t="n"/>
      <c r="C14" s="24" t="inlineStr">
        <is>
          <t>RCA</t>
        </is>
      </c>
      <c r="D14" s="25" t="n">
        <v>13.33</v>
      </c>
      <c r="E14" s="26" t="n">
        <v>2.666</v>
      </c>
      <c r="F14" s="27" t="n">
        <v>1</v>
      </c>
      <c r="G14" s="25" t="n">
        <v>1</v>
      </c>
      <c r="H14" s="28" t="n">
        <v>2</v>
      </c>
      <c r="I14" s="28" t="n">
        <v>0</v>
      </c>
      <c r="J14" s="29" t="n">
        <v>0</v>
      </c>
      <c r="K14" s="25" t="inlineStr">
        <is>
          <t>N/A</t>
        </is>
      </c>
      <c r="L14" s="28" t="inlineStr">
        <is>
          <t>N/A</t>
        </is>
      </c>
      <c r="M14" s="28" t="inlineStr">
        <is>
          <t>N/A</t>
        </is>
      </c>
      <c r="N14" s="28" t="n">
        <v>0</v>
      </c>
      <c r="O14" s="29" t="n">
        <v>0</v>
      </c>
    </row>
    <row r="15" ht="15.6" customHeight="1">
      <c r="A15" s="1" t="n"/>
      <c r="B15" s="67" t="n"/>
      <c r="C15" s="24" t="inlineStr">
        <is>
          <t>Nutrition</t>
        </is>
      </c>
      <c r="D15" s="25" t="n">
        <v>12.5</v>
      </c>
      <c r="E15" s="26" t="n">
        <v>3.125</v>
      </c>
      <c r="F15" s="27" t="n">
        <v>0</v>
      </c>
      <c r="G15" s="25" t="n">
        <v>2</v>
      </c>
      <c r="H15" s="28" t="n">
        <v>8</v>
      </c>
      <c r="I15" s="28" t="n">
        <v>130</v>
      </c>
      <c r="J15" s="29" t="n">
        <v>15</v>
      </c>
      <c r="K15" s="25" t="inlineStr">
        <is>
          <t>N/A</t>
        </is>
      </c>
      <c r="L15" s="28" t="inlineStr">
        <is>
          <t>N/A</t>
        </is>
      </c>
      <c r="M15" s="28" t="inlineStr">
        <is>
          <t>N/A</t>
        </is>
      </c>
      <c r="N15" s="28" t="n">
        <v>0</v>
      </c>
      <c r="O15" s="29" t="n">
        <v>0</v>
      </c>
    </row>
    <row r="16" ht="15.6" customHeight="1" thickBot="1">
      <c r="A16" s="1" t="n"/>
      <c r="B16" s="71" t="n"/>
      <c r="C16" s="32" t="inlineStr">
        <is>
          <t>VCMA</t>
        </is>
      </c>
      <c r="D16" s="33" t="n">
        <v>3</v>
      </c>
      <c r="E16" s="34" t="n">
        <v>0.3</v>
      </c>
      <c r="F16" s="35" t="n">
        <v>0</v>
      </c>
      <c r="G16" s="33" t="n">
        <v>5</v>
      </c>
      <c r="H16" s="36" t="n">
        <v>3</v>
      </c>
      <c r="I16" s="36" t="n">
        <v>1007</v>
      </c>
      <c r="J16" s="37" t="n">
        <v>81</v>
      </c>
      <c r="K16" s="33" t="inlineStr">
        <is>
          <t>N/A</t>
        </is>
      </c>
      <c r="L16" s="36" t="inlineStr">
        <is>
          <t>N/A</t>
        </is>
      </c>
      <c r="M16" s="36" t="inlineStr">
        <is>
          <t>N/A</t>
        </is>
      </c>
      <c r="N16" s="36" t="n">
        <v>5</v>
      </c>
      <c r="O16" s="37" t="n">
        <v>0</v>
      </c>
    </row>
    <row r="17" customFormat="1" s="44">
      <c r="A17" s="38" t="n"/>
      <c r="B17" s="38" t="n"/>
      <c r="C17" s="39" t="inlineStr">
        <is>
          <t>2025 Actual Values</t>
        </is>
      </c>
      <c r="D17" s="40">
        <f>SUM(D4:D16)</f>
        <v/>
      </c>
      <c r="E17" s="41" t="n">
        <v>1.3</v>
      </c>
      <c r="F17" s="40">
        <f>SUM(F4:F16)</f>
        <v/>
      </c>
      <c r="G17" s="40">
        <f>SUM(G4:G16)</f>
        <v/>
      </c>
      <c r="H17" s="40">
        <f>SUM(H4:H16)</f>
        <v/>
      </c>
      <c r="I17" s="40">
        <f>SUM(I4:I16)</f>
        <v/>
      </c>
      <c r="J17" s="40">
        <f>SUM(J4:J16)</f>
        <v/>
      </c>
      <c r="K17" s="40">
        <f>SUM(K4:K16)</f>
        <v/>
      </c>
      <c r="L17" s="40" t="n">
        <v>0.015</v>
      </c>
      <c r="M17" s="42" t="n">
        <v>1</v>
      </c>
      <c r="N17" s="40">
        <f>SUM(N4:N16)</f>
        <v/>
      </c>
      <c r="O17" s="40">
        <f>SUM(O4:O16)</f>
        <v/>
      </c>
      <c r="P17" s="39" t="n"/>
      <c r="Q17" s="43" t="n"/>
      <c r="R17" s="43" t="n"/>
      <c r="S17" s="43" t="n"/>
      <c r="T17" s="43" t="n"/>
      <c r="U17" s="43" t="n"/>
    </row>
    <row r="18" customFormat="1" s="45">
      <c r="C18" s="46" t="inlineStr">
        <is>
          <t>Annual Target</t>
        </is>
      </c>
      <c r="D18" s="46" t="n">
        <v>272</v>
      </c>
      <c r="E18" s="47" t="n">
        <v>2</v>
      </c>
      <c r="F18" s="48" t="n">
        <v>13</v>
      </c>
      <c r="G18" s="46" t="n">
        <v>150</v>
      </c>
      <c r="H18" s="46" t="n">
        <v>60</v>
      </c>
      <c r="I18" s="49" t="n">
        <v>12000</v>
      </c>
      <c r="J18" s="46" t="n">
        <v>150</v>
      </c>
      <c r="K18" s="46" t="n">
        <v>6</v>
      </c>
      <c r="L18" s="50" t="n">
        <v>0.015</v>
      </c>
      <c r="M18" s="51" t="n">
        <v>1</v>
      </c>
      <c r="N18" s="46" t="n">
        <v>20</v>
      </c>
      <c r="O18" s="46" t="n">
        <v>30</v>
      </c>
      <c r="P18" s="46" t="n"/>
      <c r="Q18" s="53" t="n"/>
      <c r="R18" s="53" t="n"/>
      <c r="S18" s="53" t="n"/>
      <c r="T18" s="53" t="n"/>
      <c r="U18" s="53" t="n"/>
    </row>
    <row r="19" customFormat="1" s="45">
      <c r="C19" s="46" t="inlineStr">
        <is>
          <t>Per Program Target (target/13)</t>
        </is>
      </c>
      <c r="D19" s="54">
        <f>D18/13</f>
        <v/>
      </c>
      <c r="E19" s="54" t="n">
        <v>2</v>
      </c>
      <c r="F19" s="54" t="n">
        <v>1</v>
      </c>
      <c r="G19" s="54">
        <f>G18/13</f>
        <v/>
      </c>
      <c r="H19" s="54">
        <f>H18/13</f>
        <v/>
      </c>
      <c r="I19" s="54">
        <f>I18/13</f>
        <v/>
      </c>
      <c r="J19" s="54">
        <f>J18/13</f>
        <v/>
      </c>
      <c r="K19" s="54" t="n"/>
      <c r="L19" s="54" t="n"/>
      <c r="M19" s="54" t="n"/>
      <c r="N19" s="54">
        <f>N18/13</f>
        <v/>
      </c>
      <c r="O19" s="54">
        <f>O18/13</f>
        <v/>
      </c>
      <c r="P19" s="52" t="n"/>
      <c r="Q19" s="53" t="n"/>
      <c r="R19" s="53" t="n"/>
      <c r="S19" s="53" t="n"/>
      <c r="T19" s="53" t="n"/>
      <c r="U19" s="53" t="n"/>
    </row>
    <row r="20"/>
    <row r="21" hidden="1" ht="18" customHeight="1">
      <c r="C21" s="55" t="n"/>
      <c r="D21" s="56" t="inlineStr">
        <is>
          <t>Comments</t>
        </is>
      </c>
    </row>
    <row r="22" hidden="1" ht="18" customHeight="1">
      <c r="D22" s="60" t="inlineStr">
        <is>
          <t xml:space="preserve">It looks like the colorscheme is not consistently applied everywhere </t>
        </is>
      </c>
    </row>
    <row r="23" hidden="1" ht="21" customHeight="1">
      <c r="D23" s="61" t="inlineStr">
        <is>
          <t>(e.g., see the different versions of red in cells G4 and H4)?</t>
        </is>
      </c>
    </row>
    <row r="24" hidden="1">
      <c r="C24" s="62" t="n"/>
    </row>
  </sheetData>
  <mergeCells count="7">
    <mergeCell ref="D2:F2"/>
    <mergeCell ref="B8:B11"/>
    <mergeCell ref="B4:B7"/>
    <mergeCell ref="K2:O2"/>
    <mergeCell ref="B12:B16"/>
    <mergeCell ref="G2:J2"/>
    <mergeCell ref="C1:O1"/>
  </mergeCells>
  <conditionalFormatting sqref="D4:D16">
    <cfRule type="colorScale" priority="216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8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217">
      <colorScale>
        <cfvo type="formula" val="$E$19"/>
        <cfvo type="num" val="0"/>
        <cfvo type="formula" val="$E$18"/>
        <color rgb="FFFF0000"/>
        <color rgb="FFFFFF00"/>
        <color rgb="FF00B050"/>
      </colorScale>
    </cfRule>
  </conditionalFormatting>
  <conditionalFormatting sqref="F4:F16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0">
      <colorScale>
        <cfvo type="num" val="0"/>
        <cfvo type="num" val="0.5"/>
        <cfvo type="formula" val="$F$19"/>
        <color rgb="FFFF0000"/>
        <color rgb="FFFFFF00"/>
        <color rgb="FF00B050"/>
      </colorScale>
    </cfRule>
  </conditionalFormatting>
  <conditionalFormatting sqref="G4:G1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2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24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2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226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6:L6">
    <cfRule type="colorScale" priority="172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2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7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M4">
    <cfRule type="colorScale" priority="183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8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8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K7:M16">
    <cfRule type="colorScale" priority="19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4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4">
      <colorScale>
        <cfvo type="min"/>
        <cfvo type="formula" val="0.75"/>
        <cfvo type="max"/>
        <color rgb="FFF8696B"/>
        <color rgb="FF00B050"/>
        <color rgb="FFFFFF00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L5 M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6">
      <colorScale>
        <cfvo type="min"/>
        <cfvo type="formula" val="MAX($L$4:$L$16)/2"/>
        <cfvo type="max"/>
        <color rgb="FFF8696B"/>
        <color rgb="FFFFEB84"/>
        <color rgb="FF63BE7B"/>
      </colorScale>
    </cfRule>
  </conditionalFormatting>
  <conditionalFormatting sqref="L5">
    <cfRule type="colorScale" priority="87">
      <colorScale>
        <cfvo type="min"/>
        <cfvo type="formula" val="MAX($L$4:$L$16)/2"/>
        <cfvo type="max"/>
        <color rgb="FFF8696B"/>
        <color rgb="FFFFEB84"/>
        <color rgb="FF63BE7B"/>
      </colorScale>
    </cfRule>
  </conditionalFormatting>
  <conditionalFormatting sqref="M5">
    <cfRule type="colorScale" priority="21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1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5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9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K5 M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7">
      <colorScale>
        <cfvo type="min"/>
        <cfvo type="formula" val="MAX($K$4:$K$16)/2"/>
        <cfvo type="max"/>
        <color rgb="FFF8696B"/>
        <color rgb="FFFFEB84"/>
        <color rgb="FF63BE7B"/>
      </colorScale>
    </cfRule>
  </conditionalFormatting>
  <conditionalFormatting sqref="N4:N16">
    <cfRule type="colorScale" priority="227">
      <colorScale>
        <cfvo type="min"/>
        <cfvo type="formula" val="$N$19/2"/>
        <cfvo type="formula" val="$N$19"/>
        <color rgb="FFFF0000"/>
        <color rgb="FFFFFF00"/>
        <color rgb="FF00B050"/>
      </colorScale>
    </cfRule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229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pageMargins left="0.7" right="0.7" top="0.75" bottom="0.75" header="0.3" footer="0.3"/>
  <pageSetup orientation="landscape" paperSize="8" scale="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Lewis, Sabra (IITA)</dc:creator>
  <dcterms:created xsi:type="dcterms:W3CDTF">2026-04-08T13:52:03Z</dcterms:created>
  <dcterms:modified xsi:type="dcterms:W3CDTF">2026-04-09T14:09:13Z</dcterms:modified>
  <cp:lastModifiedBy>Devari, Aalakh (SI EA R&amp;D AU SDA)</cp:lastModifiedBy>
</cp:coreProperties>
</file>